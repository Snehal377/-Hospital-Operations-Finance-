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Data Science Excel\projects\"/>
    </mc:Choice>
  </mc:AlternateContent>
  <xr:revisionPtr revIDLastSave="0" documentId="13_ncr:1_{78072C89-A62E-4DB1-9B7D-ABD0CEFFBA80}" xr6:coauthVersionLast="47" xr6:coauthVersionMax="47" xr10:uidLastSave="{00000000-0000-0000-0000-000000000000}"/>
  <bookViews>
    <workbookView xWindow="-110" yWindow="-110" windowWidth="19420" windowHeight="10420" activeTab="2" xr2:uid="{8BD6FEEB-DE48-4B4F-B6E6-BF60226E5F16}"/>
  </bookViews>
  <sheets>
    <sheet name="dummy_hospital_generated" sheetId="2" r:id="rId1"/>
    <sheet name="Sheet1" sheetId="1" r:id="rId2"/>
    <sheet name="Sheet2" sheetId="3" r:id="rId3"/>
  </sheets>
  <definedNames>
    <definedName name="_xlchart.v1.10" hidden="1">Sheet1!$E$68</definedName>
    <definedName name="_xlchart.v1.11" hidden="1">Sheet1!$E$69:$E$73</definedName>
    <definedName name="_xlchart.v1.3" hidden="1">Sheet1!$D$69:$D$73</definedName>
    <definedName name="_xlchart.v1.4" hidden="1">Sheet1!$E$68</definedName>
    <definedName name="_xlchart.v1.5" hidden="1">Sheet1!$E$69:$E$73</definedName>
    <definedName name="_xlchart.v1.9" hidden="1">Sheet1!$D$69:$D$73</definedName>
    <definedName name="_xlchart.v2.0" hidden="1">Sheet1!$A$55:$A$64</definedName>
    <definedName name="_xlchart.v2.1" hidden="1">Sheet1!$B$54</definedName>
    <definedName name="_xlchart.v2.2" hidden="1">Sheet1!$B$55:$B$64</definedName>
    <definedName name="_xlchart.v2.6" hidden="1">Sheet1!$A$55:$A$64</definedName>
    <definedName name="_xlchart.v2.7" hidden="1">Sheet1!$B$54</definedName>
    <definedName name="_xlchart.v2.8" hidden="1">Sheet1!$B$55:$B$64</definedName>
    <definedName name="ExternalData_1" localSheetId="0" hidden="1">dummy_hospital_generated!$A$1:$V$224</definedName>
    <definedName name="Slicer_Case_type">#N/A</definedName>
    <definedName name="Slicer_Doctor_Status">#N/A</definedName>
    <definedName name="Slicer_Surgical_Mix">#N/A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8" i="1" l="1"/>
  <c r="D69" i="1"/>
  <c r="E69" i="1"/>
  <c r="D70" i="1"/>
  <c r="E70" i="1"/>
  <c r="D71" i="1"/>
  <c r="E71" i="1"/>
  <c r="D72" i="1"/>
  <c r="E72" i="1"/>
  <c r="D73" i="1"/>
  <c r="E73" i="1"/>
  <c r="E68" i="1"/>
  <c r="B60" i="1"/>
  <c r="A60" i="1"/>
  <c r="B59" i="1"/>
  <c r="A59" i="1"/>
  <c r="B58" i="1"/>
  <c r="A58" i="1"/>
  <c r="B57" i="1"/>
  <c r="A57" i="1"/>
  <c r="B56" i="1"/>
  <c r="A56" i="1"/>
  <c r="B55" i="1"/>
  <c r="A55" i="1"/>
  <c r="B54" i="1"/>
  <c r="A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59F90D-4FB9-4337-BC22-52BED5DCF4AB}" keepAlive="1" name="Query - dummy_hospital_generated" description="Connection to the 'dummy_hospital_generated' query in the workbook." type="5" refreshedVersion="8" background="1" saveData="1">
    <dbPr connection="Provider=Microsoft.Mashup.OleDb.1;Data Source=$Workbook$;Location=dummy_hospital_generated;Extended Properties=&quot;&quot;" command="SELECT * FROM [dummy_hospital_generated]"/>
  </connection>
</connections>
</file>

<file path=xl/sharedStrings.xml><?xml version="1.0" encoding="utf-8"?>
<sst xmlns="http://schemas.openxmlformats.org/spreadsheetml/2006/main" count="3196" uniqueCount="123">
  <si>
    <t>Month</t>
  </si>
  <si>
    <t>Case_No</t>
  </si>
  <si>
    <t>DOB</t>
  </si>
  <si>
    <t>Nationality</t>
  </si>
  <si>
    <t>Gender</t>
  </si>
  <si>
    <t>DoctorLicense</t>
  </si>
  <si>
    <t>DoctorName</t>
  </si>
  <si>
    <t>Doctor Type</t>
  </si>
  <si>
    <t>Doctor Status</t>
  </si>
  <si>
    <t>CMI Value</t>
  </si>
  <si>
    <t>Specialty</t>
  </si>
  <si>
    <t>Insurance/Payer</t>
  </si>
  <si>
    <t>InsurancePlanName</t>
  </si>
  <si>
    <t>Payer Mix</t>
  </si>
  <si>
    <t>Case type</t>
  </si>
  <si>
    <t>LOS</t>
  </si>
  <si>
    <t>Severity</t>
  </si>
  <si>
    <t>Surgical Mix</t>
  </si>
  <si>
    <t>Discharge Time</t>
  </si>
  <si>
    <t>Discharge Before 12PM</t>
  </si>
  <si>
    <t>Revenue</t>
  </si>
  <si>
    <t>Pakistan</t>
  </si>
  <si>
    <t>F</t>
  </si>
  <si>
    <t>ABC123</t>
  </si>
  <si>
    <t>Dr. Shawn Martin</t>
  </si>
  <si>
    <t>Consultant</t>
  </si>
  <si>
    <t>Inactive</t>
  </si>
  <si>
    <t>Emergency</t>
  </si>
  <si>
    <t>PureWin Insurance</t>
  </si>
  <si>
    <t>Premium</t>
  </si>
  <si>
    <t>Insurance</t>
  </si>
  <si>
    <t>OP</t>
  </si>
  <si>
    <t>Medical</t>
  </si>
  <si>
    <t>Yes</t>
  </si>
  <si>
    <t>UAE</t>
  </si>
  <si>
    <t>ABC234</t>
  </si>
  <si>
    <t>Dr. Thomas Muller</t>
  </si>
  <si>
    <t>Specialist</t>
  </si>
  <si>
    <t>Active</t>
  </si>
  <si>
    <t>Nephrology</t>
  </si>
  <si>
    <t>Nextcare Insurance</t>
  </si>
  <si>
    <t>NC-Blue</t>
  </si>
  <si>
    <t>IP</t>
  </si>
  <si>
    <t>No</t>
  </si>
  <si>
    <t>M</t>
  </si>
  <si>
    <t>ABC456</t>
  </si>
  <si>
    <t>Dr. Ahmed Zayed</t>
  </si>
  <si>
    <t>Gastroenterology</t>
  </si>
  <si>
    <t>Goodhealth Insurance</t>
  </si>
  <si>
    <t>GH-2</t>
  </si>
  <si>
    <t>Oman</t>
  </si>
  <si>
    <t>QWE123</t>
  </si>
  <si>
    <t>Dr. Omar Khalid</t>
  </si>
  <si>
    <t>GP</t>
  </si>
  <si>
    <t>Family Medicine</t>
  </si>
  <si>
    <t>Advance</t>
  </si>
  <si>
    <t>Philippines</t>
  </si>
  <si>
    <t>VBN123</t>
  </si>
  <si>
    <t>Dr. Peter Novak</t>
  </si>
  <si>
    <t>Orthopaedics</t>
  </si>
  <si>
    <t>India</t>
  </si>
  <si>
    <t>FGH234</t>
  </si>
  <si>
    <t>Dr. Hana Suzuki</t>
  </si>
  <si>
    <t>General Surgery</t>
  </si>
  <si>
    <t>Basic</t>
  </si>
  <si>
    <t>TotalHealth Insurance</t>
  </si>
  <si>
    <t>TH-Standard</t>
  </si>
  <si>
    <t>DC</t>
  </si>
  <si>
    <t>Indonesia</t>
  </si>
  <si>
    <t>USA</t>
  </si>
  <si>
    <t>HJK123</t>
  </si>
  <si>
    <t>Dr. Priya Iyer</t>
  </si>
  <si>
    <t>Obstetrics &amp; Gynecology</t>
  </si>
  <si>
    <t>TH-Plus</t>
  </si>
  <si>
    <t>DEF232</t>
  </si>
  <si>
    <t>Dr. Lily James</t>
  </si>
  <si>
    <t>Cardiology</t>
  </si>
  <si>
    <t>Germany</t>
  </si>
  <si>
    <t>QWE234</t>
  </si>
  <si>
    <t>Dr. Aisha Rahman</t>
  </si>
  <si>
    <t>Pulmonology</t>
  </si>
  <si>
    <t>Bangladesh</t>
  </si>
  <si>
    <t>Netherlands</t>
  </si>
  <si>
    <t>FGH123</t>
  </si>
  <si>
    <t>Dr. Sofia Kim</t>
  </si>
  <si>
    <t>Internal Medicine</t>
  </si>
  <si>
    <t>NC-Gold</t>
  </si>
  <si>
    <t>GH-1</t>
  </si>
  <si>
    <t>Egypt</t>
  </si>
  <si>
    <t>Surgery</t>
  </si>
  <si>
    <t>Japan</t>
  </si>
  <si>
    <t>Denmark</t>
  </si>
  <si>
    <t>Sri Lanka</t>
  </si>
  <si>
    <t>Grand Total</t>
  </si>
  <si>
    <t>Feb</t>
  </si>
  <si>
    <t>May</t>
  </si>
  <si>
    <t>Jul</t>
  </si>
  <si>
    <t>Sum of Revenue</t>
  </si>
  <si>
    <t>Month Name</t>
  </si>
  <si>
    <t>February</t>
  </si>
  <si>
    <t>June</t>
  </si>
  <si>
    <t>September</t>
  </si>
  <si>
    <t>March</t>
  </si>
  <si>
    <t>December</t>
  </si>
  <si>
    <t>October</t>
  </si>
  <si>
    <t>July</t>
  </si>
  <si>
    <t>November</t>
  </si>
  <si>
    <t>January</t>
  </si>
  <si>
    <t>April</t>
  </si>
  <si>
    <t>August</t>
  </si>
  <si>
    <t>Sum of Severity</t>
  </si>
  <si>
    <t>Sum of CMI Value</t>
  </si>
  <si>
    <t xml:space="preserve">Month </t>
  </si>
  <si>
    <t xml:space="preserve">Insurance </t>
  </si>
  <si>
    <t xml:space="preserve">Nationality </t>
  </si>
  <si>
    <t>Sum of Case_No</t>
  </si>
  <si>
    <t>Average of CMI Value</t>
  </si>
  <si>
    <t>Aug</t>
  </si>
  <si>
    <t>Oct</t>
  </si>
  <si>
    <t>Dec</t>
  </si>
  <si>
    <t>Sep</t>
  </si>
  <si>
    <t>Average of Severity</t>
  </si>
  <si>
    <t xml:space="preserve">Doctor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</si>
</sst>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tint="-0.34998626667073579"/>
        <bgColor indexed="64"/>
      </patternFill>
    </fill>
    <fill>
      <patternFill patternType="solid">
        <fgColor theme="0" tint="-0.14999847407452621"/>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10" xfId="0" applyFill="1" applyBorder="1"/>
    <xf numFmtId="0" fontId="0" fillId="3" borderId="0" xfId="0" applyFill="1"/>
    <xf numFmtId="0" fontId="0" fillId="4" borderId="0" xfId="0" applyFill="1"/>
    <xf numFmtId="0" fontId="0" fillId="4" borderId="10" xfId="0" applyFill="1" applyBorder="1"/>
    <xf numFmtId="0" fontId="0" fillId="0" borderId="10" xfId="0" applyBorder="1"/>
    <xf numFmtId="0" fontId="0" fillId="0" borderId="0" xfId="0" applyNumberFormat="1"/>
  </cellXfs>
  <cellStyles count="1">
    <cellStyle name="Normal" xfId="0" builtinId="0"/>
  </cellStyles>
  <dxfs count="16">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AC65FB"/>
      <color rgb="FF9933FF"/>
      <color rgb="FFFF99CC"/>
      <color rgb="FFF6B0D6"/>
      <color rgb="FFFF0066"/>
      <color rgb="FF2117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(Repaired).xlsx]Sheet1!PivotTable1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Sheet1!$B$2</c:f>
              <c:strCache>
                <c:ptCount val="1"/>
                <c:pt idx="0">
                  <c:v>Total</c:v>
                </c:pt>
              </c:strCache>
            </c:strRef>
          </c:tx>
          <c:spPr>
            <a:ln w="28575" cap="rnd">
              <a:solidFill>
                <a:schemeClr val="accent1"/>
              </a:solidFill>
              <a:round/>
            </a:ln>
            <a:effectLst/>
          </c:spPr>
          <c:marker>
            <c:symbol val="none"/>
          </c:marker>
          <c:cat>
            <c:strRef>
              <c:f>Sheet1!$A$3:$A$10</c:f>
              <c:strCache>
                <c:ptCount val="7"/>
                <c:pt idx="0">
                  <c:v>Feb</c:v>
                </c:pt>
                <c:pt idx="1">
                  <c:v>May</c:v>
                </c:pt>
                <c:pt idx="2">
                  <c:v>Jul</c:v>
                </c:pt>
                <c:pt idx="3">
                  <c:v>Aug</c:v>
                </c:pt>
                <c:pt idx="4">
                  <c:v>Sep</c:v>
                </c:pt>
                <c:pt idx="5">
                  <c:v>Oct</c:v>
                </c:pt>
                <c:pt idx="6">
                  <c:v>Dec</c:v>
                </c:pt>
              </c:strCache>
            </c:strRef>
          </c:cat>
          <c:val>
            <c:numRef>
              <c:f>Sheet1!$B$3:$B$10</c:f>
              <c:numCache>
                <c:formatCode>General</c:formatCode>
                <c:ptCount val="7"/>
                <c:pt idx="0">
                  <c:v>548</c:v>
                </c:pt>
                <c:pt idx="1">
                  <c:v>140</c:v>
                </c:pt>
                <c:pt idx="2">
                  <c:v>395</c:v>
                </c:pt>
                <c:pt idx="3">
                  <c:v>654</c:v>
                </c:pt>
                <c:pt idx="4">
                  <c:v>1369</c:v>
                </c:pt>
                <c:pt idx="5">
                  <c:v>173</c:v>
                </c:pt>
                <c:pt idx="6">
                  <c:v>541</c:v>
                </c:pt>
              </c:numCache>
            </c:numRef>
          </c:val>
          <c:smooth val="0"/>
          <c:extLst>
            <c:ext xmlns:c16="http://schemas.microsoft.com/office/drawing/2014/chart" uri="{C3380CC4-5D6E-409C-BE32-E72D297353CC}">
              <c16:uniqueId val="{00000000-26C1-491C-BC8B-88C320E257F7}"/>
            </c:ext>
          </c:extLst>
        </c:ser>
        <c:dLbls>
          <c:showLegendKey val="0"/>
          <c:showVal val="0"/>
          <c:showCatName val="0"/>
          <c:showSerName val="0"/>
          <c:showPercent val="0"/>
          <c:showBubbleSize val="0"/>
        </c:dLbls>
        <c:smooth val="0"/>
        <c:axId val="334555248"/>
        <c:axId val="334569392"/>
      </c:lineChart>
      <c:catAx>
        <c:axId val="33455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69392"/>
        <c:crosses val="autoZero"/>
        <c:auto val="1"/>
        <c:lblAlgn val="ctr"/>
        <c:lblOffset val="100"/>
        <c:noMultiLvlLbl val="0"/>
      </c:catAx>
      <c:valAx>
        <c:axId val="33456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5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(Repaired).xlsx]Sheet1!PivotTable2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Sheet1!$B$17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EE8-40B7-B3D2-D5B96461B66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EE8-40B7-B3D2-D5B96461B66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EE8-40B7-B3D2-D5B96461B66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EE8-40B7-B3D2-D5B96461B665}"/>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Sheet1!$A$18:$A$21</c:f>
              <c:strCache>
                <c:ptCount val="3"/>
                <c:pt idx="0">
                  <c:v>Goodhealth Insurance</c:v>
                </c:pt>
                <c:pt idx="1">
                  <c:v>PureWin Insurance</c:v>
                </c:pt>
                <c:pt idx="2">
                  <c:v>TotalHealth Insurance</c:v>
                </c:pt>
              </c:strCache>
            </c:strRef>
          </c:cat>
          <c:val>
            <c:numRef>
              <c:f>Sheet1!$B$18:$B$21</c:f>
              <c:numCache>
                <c:formatCode>General</c:formatCode>
                <c:ptCount val="3"/>
                <c:pt idx="0">
                  <c:v>395</c:v>
                </c:pt>
                <c:pt idx="1">
                  <c:v>1127</c:v>
                </c:pt>
                <c:pt idx="2">
                  <c:v>2298</c:v>
                </c:pt>
              </c:numCache>
            </c:numRef>
          </c:val>
          <c:extLst>
            <c:ext xmlns:c16="http://schemas.microsoft.com/office/drawing/2014/chart" uri="{C3380CC4-5D6E-409C-BE32-E72D297353CC}">
              <c16:uniqueId val="{00000000-81AC-4A14-B782-9909AFAE08FD}"/>
            </c:ext>
          </c:extLst>
        </c:ser>
        <c:dLbls>
          <c:showLegendKey val="0"/>
          <c:showVal val="1"/>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(Repaired).xlsx]Sheet1!PivotTable3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1"/>
            </a:solidFill>
            <a:ln>
              <a:noFill/>
            </a:ln>
            <a:effectLst/>
          </c:spPr>
          <c:invertIfNegative val="0"/>
          <c:cat>
            <c:strRef>
              <c:f>Sheet1!$A$25:$A$30</c:f>
              <c:strCache>
                <c:ptCount val="5"/>
                <c:pt idx="0">
                  <c:v>India</c:v>
                </c:pt>
                <c:pt idx="1">
                  <c:v>Indonesia</c:v>
                </c:pt>
                <c:pt idx="2">
                  <c:v>Pakistan</c:v>
                </c:pt>
                <c:pt idx="3">
                  <c:v>UAE</c:v>
                </c:pt>
                <c:pt idx="4">
                  <c:v>USA</c:v>
                </c:pt>
              </c:strCache>
            </c:strRef>
          </c:cat>
          <c:val>
            <c:numRef>
              <c:f>Sheet1!$B$25:$B$30</c:f>
              <c:numCache>
                <c:formatCode>General</c:formatCode>
                <c:ptCount val="5"/>
                <c:pt idx="0">
                  <c:v>8</c:v>
                </c:pt>
                <c:pt idx="1">
                  <c:v>1</c:v>
                </c:pt>
                <c:pt idx="2">
                  <c:v>1</c:v>
                </c:pt>
                <c:pt idx="3">
                  <c:v>3</c:v>
                </c:pt>
                <c:pt idx="4">
                  <c:v>2</c:v>
                </c:pt>
              </c:numCache>
            </c:numRef>
          </c:val>
          <c:extLst>
            <c:ext xmlns:c16="http://schemas.microsoft.com/office/drawing/2014/chart" uri="{C3380CC4-5D6E-409C-BE32-E72D297353CC}">
              <c16:uniqueId val="{00000000-8D51-41CC-9266-8149A8D6E47A}"/>
            </c:ext>
          </c:extLst>
        </c:ser>
        <c:dLbls>
          <c:showLegendKey val="0"/>
          <c:showVal val="0"/>
          <c:showCatName val="0"/>
          <c:showSerName val="0"/>
          <c:showPercent val="0"/>
          <c:showBubbleSize val="0"/>
        </c:dLbls>
        <c:gapWidth val="219"/>
        <c:overlap val="-27"/>
        <c:axId val="30722288"/>
        <c:axId val="30730608"/>
      </c:barChart>
      <c:catAx>
        <c:axId val="3072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0608"/>
        <c:crosses val="autoZero"/>
        <c:auto val="1"/>
        <c:lblAlgn val="ctr"/>
        <c:lblOffset val="100"/>
        <c:noMultiLvlLbl val="0"/>
      </c:catAx>
      <c:valAx>
        <c:axId val="307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2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(Repaired).xlsx]Sheet1!PivotTable5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Sheet1!$B$88</c:f>
              <c:strCache>
                <c:ptCount val="1"/>
                <c:pt idx="0">
                  <c:v>Total</c:v>
                </c:pt>
              </c:strCache>
            </c:strRef>
          </c:tx>
          <c:spPr>
            <a:solidFill>
              <a:schemeClr val="accent1"/>
            </a:solidFill>
            <a:ln>
              <a:noFill/>
            </a:ln>
            <a:effectLst/>
          </c:spPr>
          <c:invertIfNegative val="0"/>
          <c:cat>
            <c:strRef>
              <c:f>Sheet1!$A$89:$A$92</c:f>
              <c:strCache>
                <c:ptCount val="3"/>
                <c:pt idx="0">
                  <c:v>Consultant</c:v>
                </c:pt>
                <c:pt idx="1">
                  <c:v>GP</c:v>
                </c:pt>
                <c:pt idx="2">
                  <c:v>Specialist</c:v>
                </c:pt>
              </c:strCache>
            </c:strRef>
          </c:cat>
          <c:val>
            <c:numRef>
              <c:f>Sheet1!$B$89:$B$92</c:f>
              <c:numCache>
                <c:formatCode>General</c:formatCode>
                <c:ptCount val="3"/>
                <c:pt idx="0">
                  <c:v>1.5333333333333334</c:v>
                </c:pt>
                <c:pt idx="1">
                  <c:v>1.75</c:v>
                </c:pt>
                <c:pt idx="2">
                  <c:v>1.4545454545454546</c:v>
                </c:pt>
              </c:numCache>
            </c:numRef>
          </c:val>
          <c:extLst>
            <c:ext xmlns:c16="http://schemas.microsoft.com/office/drawing/2014/chart" uri="{C3380CC4-5D6E-409C-BE32-E72D297353CC}">
              <c16:uniqueId val="{00000000-3E01-479A-A4C2-4FC5614002AF}"/>
            </c:ext>
          </c:extLst>
        </c:ser>
        <c:dLbls>
          <c:showLegendKey val="0"/>
          <c:showVal val="0"/>
          <c:showCatName val="0"/>
          <c:showSerName val="0"/>
          <c:showPercent val="0"/>
          <c:showBubbleSize val="0"/>
        </c:dLbls>
        <c:gapWidth val="182"/>
        <c:axId val="1161228639"/>
        <c:axId val="1161229055"/>
      </c:barChart>
      <c:catAx>
        <c:axId val="116122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229055"/>
        <c:crosses val="autoZero"/>
        <c:auto val="1"/>
        <c:lblAlgn val="ctr"/>
        <c:lblOffset val="100"/>
        <c:noMultiLvlLbl val="0"/>
      </c:catAx>
      <c:valAx>
        <c:axId val="1161229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22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(Repaired).xlsx]Sheet1!PivotTable1</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Monthly Revenue trend </a:t>
            </a:r>
          </a:p>
        </c:rich>
      </c:tx>
      <c:layout>
        <c:manualLayout>
          <c:xMode val="edge"/>
          <c:yMode val="edge"/>
          <c:x val="0.38310998985767292"/>
          <c:y val="7.01462227519445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F0066"/>
            </a:solidFill>
            <a:round/>
          </a:ln>
          <a:effectLst/>
        </c:spPr>
        <c:marker>
          <c:symbol val="circle"/>
          <c:size val="17"/>
          <c:spPr>
            <a:solidFill>
              <a:schemeClr val="accent1"/>
            </a:solidFill>
            <a:ln>
              <a:noFill/>
            </a:ln>
            <a:effectLst/>
          </c:spPr>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ln w="31750" cap="rnd">
            <a:solidFill>
              <a:srgbClr val="FF0066"/>
            </a:solidFill>
            <a:round/>
          </a:ln>
          <a:effectLst/>
        </c:spPr>
        <c:marker>
          <c:symbol val="circle"/>
          <c:size val="17"/>
          <c:spPr>
            <a:solidFill>
              <a:schemeClr val="accent1"/>
            </a:solidFill>
            <a:ln>
              <a:noFill/>
            </a:ln>
            <a:effectLst/>
          </c:spPr>
        </c:marker>
      </c:pivotFmt>
    </c:pivotFmts>
    <c:plotArea>
      <c:layout>
        <c:manualLayout>
          <c:layoutTarget val="inner"/>
          <c:xMode val="edge"/>
          <c:yMode val="edge"/>
          <c:x val="1.6516026776055136E-2"/>
          <c:y val="0.30969195702070568"/>
          <c:w val="0.9704918474410712"/>
          <c:h val="0.57033258304713097"/>
        </c:manualLayout>
      </c:layout>
      <c:lineChart>
        <c:grouping val="stacked"/>
        <c:varyColors val="0"/>
        <c:ser>
          <c:idx val="0"/>
          <c:order val="0"/>
          <c:tx>
            <c:strRef>
              <c:f>Sheet1!$B$2</c:f>
              <c:strCache>
                <c:ptCount val="1"/>
                <c:pt idx="0">
                  <c:v>Total</c:v>
                </c:pt>
              </c:strCache>
            </c:strRef>
          </c:tx>
          <c:spPr>
            <a:ln w="31750" cap="rnd">
              <a:solidFill>
                <a:srgbClr val="FF0066"/>
              </a:solidFill>
              <a:round/>
            </a:ln>
            <a:effectLst/>
          </c:spPr>
          <c:marker>
            <c:symbol val="circle"/>
            <c:size val="17"/>
            <c:spPr>
              <a:solidFill>
                <a:schemeClr val="accent1"/>
              </a:solidFill>
              <a:ln>
                <a:noFill/>
              </a:ln>
              <a:effectLst/>
            </c:spPr>
          </c:marker>
          <c:dLbls>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Sheet1!$A$3:$A$10</c:f>
              <c:strCache>
                <c:ptCount val="7"/>
                <c:pt idx="0">
                  <c:v>Feb</c:v>
                </c:pt>
                <c:pt idx="1">
                  <c:v>May</c:v>
                </c:pt>
                <c:pt idx="2">
                  <c:v>Jul</c:v>
                </c:pt>
                <c:pt idx="3">
                  <c:v>Aug</c:v>
                </c:pt>
                <c:pt idx="4">
                  <c:v>Sep</c:v>
                </c:pt>
                <c:pt idx="5">
                  <c:v>Oct</c:v>
                </c:pt>
                <c:pt idx="6">
                  <c:v>Dec</c:v>
                </c:pt>
              </c:strCache>
            </c:strRef>
          </c:cat>
          <c:val>
            <c:numRef>
              <c:f>Sheet1!$B$3:$B$10</c:f>
              <c:numCache>
                <c:formatCode>General</c:formatCode>
                <c:ptCount val="7"/>
                <c:pt idx="0">
                  <c:v>548</c:v>
                </c:pt>
                <c:pt idx="1">
                  <c:v>140</c:v>
                </c:pt>
                <c:pt idx="2">
                  <c:v>395</c:v>
                </c:pt>
                <c:pt idx="3">
                  <c:v>654</c:v>
                </c:pt>
                <c:pt idx="4">
                  <c:v>1369</c:v>
                </c:pt>
                <c:pt idx="5">
                  <c:v>173</c:v>
                </c:pt>
                <c:pt idx="6">
                  <c:v>541</c:v>
                </c:pt>
              </c:numCache>
            </c:numRef>
          </c:val>
          <c:smooth val="0"/>
          <c:extLst>
            <c:ext xmlns:c16="http://schemas.microsoft.com/office/drawing/2014/chart" uri="{C3380CC4-5D6E-409C-BE32-E72D297353CC}">
              <c16:uniqueId val="{00000000-EC78-4601-8D58-D20D862FF7C1}"/>
            </c:ext>
          </c:extLst>
        </c:ser>
        <c:dLbls>
          <c:dLblPos val="ctr"/>
          <c:showLegendKey val="0"/>
          <c:showVal val="1"/>
          <c:showCatName val="0"/>
          <c:showSerName val="0"/>
          <c:showPercent val="0"/>
          <c:showBubbleSize val="0"/>
        </c:dLbls>
        <c:marker val="1"/>
        <c:smooth val="0"/>
        <c:axId val="334555248"/>
        <c:axId val="334569392"/>
      </c:lineChart>
      <c:catAx>
        <c:axId val="3345552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4569392"/>
        <c:crosses val="autoZero"/>
        <c:auto val="1"/>
        <c:lblAlgn val="ctr"/>
        <c:lblOffset val="100"/>
        <c:noMultiLvlLbl val="0"/>
      </c:catAx>
      <c:valAx>
        <c:axId val="3345693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345552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(Repaired).xlsx]Sheet1!PivotTable2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Insurance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E7-4F97-9D24-AC6680AE98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E7-4F97-9D24-AC6680AE981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E7-4F97-9D24-AC6680AE981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7E7-4F97-9D24-AC6680AE98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Sheet1!$A$18:$A$21</c:f>
              <c:strCache>
                <c:ptCount val="3"/>
                <c:pt idx="0">
                  <c:v>Goodhealth Insurance</c:v>
                </c:pt>
                <c:pt idx="1">
                  <c:v>PureWin Insurance</c:v>
                </c:pt>
                <c:pt idx="2">
                  <c:v>TotalHealth Insurance</c:v>
                </c:pt>
              </c:strCache>
            </c:strRef>
          </c:cat>
          <c:val>
            <c:numRef>
              <c:f>Sheet1!$B$18:$B$21</c:f>
              <c:numCache>
                <c:formatCode>General</c:formatCode>
                <c:ptCount val="3"/>
                <c:pt idx="0">
                  <c:v>395</c:v>
                </c:pt>
                <c:pt idx="1">
                  <c:v>1127</c:v>
                </c:pt>
                <c:pt idx="2">
                  <c:v>2298</c:v>
                </c:pt>
              </c:numCache>
            </c:numRef>
          </c:val>
          <c:extLst>
            <c:ext xmlns:c16="http://schemas.microsoft.com/office/drawing/2014/chart" uri="{C3380CC4-5D6E-409C-BE32-E72D297353CC}">
              <c16:uniqueId val="{00000008-B7E7-4F97-9D24-AC6680AE9811}"/>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(Repaired).xlsx]Sheet1!PivotTable3</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Top 5 Nationality</a:t>
            </a:r>
            <a:r>
              <a:rPr lang="en-US" sz="1400" baseline="0">
                <a:latin typeface="Times New Roman" panose="02020603050405020304" pitchFamily="18" charset="0"/>
                <a:cs typeface="Times New Roman" panose="02020603050405020304" pitchFamily="18" charset="0"/>
              </a:rPr>
              <a:t> Wise Severity</a:t>
            </a:r>
            <a:endParaRPr lang="en-US" sz="1400">
              <a:latin typeface="Times New Roman" panose="02020603050405020304" pitchFamily="18" charset="0"/>
              <a:cs typeface="Times New Roman" panose="02020603050405020304" pitchFamily="18" charset="0"/>
            </a:endParaRPr>
          </a:p>
        </c:rich>
      </c:tx>
      <c:layout>
        <c:manualLayout>
          <c:xMode val="edge"/>
          <c:yMode val="edge"/>
          <c:x val="0.18652920638809545"/>
          <c:y val="5.09089457669903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66">
              <a:alpha val="84706"/>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rgbClr val="FF0066">
                <a:alpha val="84706"/>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Sheet1!$A$25:$A$30</c:f>
              <c:strCache>
                <c:ptCount val="5"/>
                <c:pt idx="0">
                  <c:v>India</c:v>
                </c:pt>
                <c:pt idx="1">
                  <c:v>Indonesia</c:v>
                </c:pt>
                <c:pt idx="2">
                  <c:v>Pakistan</c:v>
                </c:pt>
                <c:pt idx="3">
                  <c:v>UAE</c:v>
                </c:pt>
                <c:pt idx="4">
                  <c:v>USA</c:v>
                </c:pt>
              </c:strCache>
            </c:strRef>
          </c:cat>
          <c:val>
            <c:numRef>
              <c:f>Sheet1!$B$25:$B$30</c:f>
              <c:numCache>
                <c:formatCode>General</c:formatCode>
                <c:ptCount val="5"/>
                <c:pt idx="0">
                  <c:v>8</c:v>
                </c:pt>
                <c:pt idx="1">
                  <c:v>1</c:v>
                </c:pt>
                <c:pt idx="2">
                  <c:v>1</c:v>
                </c:pt>
                <c:pt idx="3">
                  <c:v>3</c:v>
                </c:pt>
                <c:pt idx="4">
                  <c:v>2</c:v>
                </c:pt>
              </c:numCache>
            </c:numRef>
          </c:val>
          <c:extLst>
            <c:ext xmlns:c16="http://schemas.microsoft.com/office/drawing/2014/chart" uri="{C3380CC4-5D6E-409C-BE32-E72D297353CC}">
              <c16:uniqueId val="{00000000-EF4C-40EE-BD66-2B033234B119}"/>
            </c:ext>
          </c:extLst>
        </c:ser>
        <c:dLbls>
          <c:dLblPos val="outEnd"/>
          <c:showLegendKey val="0"/>
          <c:showVal val="1"/>
          <c:showCatName val="0"/>
          <c:showSerName val="0"/>
          <c:showPercent val="0"/>
          <c:showBubbleSize val="0"/>
        </c:dLbls>
        <c:gapWidth val="65"/>
        <c:axId val="30722288"/>
        <c:axId val="30730608"/>
      </c:barChart>
      <c:catAx>
        <c:axId val="307222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730608"/>
        <c:crosses val="autoZero"/>
        <c:auto val="1"/>
        <c:lblAlgn val="ctr"/>
        <c:lblOffset val="100"/>
        <c:noMultiLvlLbl val="0"/>
      </c:catAx>
      <c:valAx>
        <c:axId val="307306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072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(Repaired).xlsx]Sheet1!PivotTable5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Doctor_type wise Avg_Severity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C65FB">
              <a:alpha val="84706"/>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Sheet1!$B$88</c:f>
              <c:strCache>
                <c:ptCount val="1"/>
                <c:pt idx="0">
                  <c:v>Total</c:v>
                </c:pt>
              </c:strCache>
            </c:strRef>
          </c:tx>
          <c:spPr>
            <a:solidFill>
              <a:srgbClr val="AC65FB">
                <a:alpha val="84706"/>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Sheet1!$A$89:$A$92</c:f>
              <c:strCache>
                <c:ptCount val="3"/>
                <c:pt idx="0">
                  <c:v>Consultant</c:v>
                </c:pt>
                <c:pt idx="1">
                  <c:v>GP</c:v>
                </c:pt>
                <c:pt idx="2">
                  <c:v>Specialist</c:v>
                </c:pt>
              </c:strCache>
            </c:strRef>
          </c:cat>
          <c:val>
            <c:numRef>
              <c:f>Sheet1!$B$89:$B$92</c:f>
              <c:numCache>
                <c:formatCode>General</c:formatCode>
                <c:ptCount val="3"/>
                <c:pt idx="0">
                  <c:v>1.5333333333333334</c:v>
                </c:pt>
                <c:pt idx="1">
                  <c:v>1.75</c:v>
                </c:pt>
                <c:pt idx="2">
                  <c:v>1.4545454545454546</c:v>
                </c:pt>
              </c:numCache>
            </c:numRef>
          </c:val>
          <c:extLst>
            <c:ext xmlns:c16="http://schemas.microsoft.com/office/drawing/2014/chart" uri="{C3380CC4-5D6E-409C-BE32-E72D297353CC}">
              <c16:uniqueId val="{00000000-69A7-4ECE-9FA1-2019A73E3376}"/>
            </c:ext>
          </c:extLst>
        </c:ser>
        <c:dLbls>
          <c:dLblPos val="inEnd"/>
          <c:showLegendKey val="0"/>
          <c:showVal val="1"/>
          <c:showCatName val="0"/>
          <c:showSerName val="0"/>
          <c:showPercent val="0"/>
          <c:showBubbleSize val="0"/>
        </c:dLbls>
        <c:gapWidth val="65"/>
        <c:axId val="1161228639"/>
        <c:axId val="1161229055"/>
      </c:barChart>
      <c:catAx>
        <c:axId val="1161228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1229055"/>
        <c:crosses val="autoZero"/>
        <c:auto val="1"/>
        <c:lblAlgn val="ctr"/>
        <c:lblOffset val="100"/>
        <c:noMultiLvlLbl val="0"/>
      </c:catAx>
      <c:valAx>
        <c:axId val="11612290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6122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9B8FE138-D484-4812-9134-D2BB49F3F464}">
          <cx:tx>
            <cx:txData>
              <cx:f>_xlchart.v2.1</cx:f>
              <cx:v>Sum of CMI Value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EDD3976F-53E5-40B8-A50E-FBAABE13327A}">
          <cx:tx>
            <cx:txData>
              <cx:f>_xlchart.v1.4</cx:f>
              <cx:v>Sum of Revenue</cx:v>
            </cx:txData>
          </cx:tx>
          <cx:dataLabels pos="inEnd">
            <cx:numFmt formatCode="#,##0;-#,##0" sourceLinked="0"/>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Specialty wise Cmi</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75000"/>
                  <a:lumOff val="25000"/>
                </a:sysClr>
              </a:solidFill>
              <a:latin typeface="Times New Roman" panose="02020603050405020304" pitchFamily="18" charset="0"/>
              <a:cs typeface="Times New Roman" panose="02020603050405020304" pitchFamily="18" charset="0"/>
            </a:rPr>
            <a:t>Specialty wise Cmi</a:t>
          </a:r>
        </a:p>
      </cx:txPr>
    </cx:title>
    <cx:plotArea>
      <cx:plotAreaRegion>
        <cx:series layoutId="funnel" uniqueId="{9B8FE138-D484-4812-9134-D2BB49F3F464}">
          <cx:tx>
            <cx:txData>
              <cx:f>_xlchart.v2.7</cx:f>
              <cx:v>Sum of CMI Value</cx:v>
            </cx:txData>
          </cx:tx>
          <cx:spPr>
            <a:solidFill>
              <a:srgbClr val="FF99CC"/>
            </a:solidFill>
          </cx:spPr>
          <cx:dataLabels pos="ctr">
            <cx:visibility seriesName="0" categoryName="0" value="1"/>
            <cx:separator>, </cx:separator>
          </cx:dataLabels>
          <cx:dataId val="0"/>
        </cx:series>
      </cx:plotAreaRegion>
      <cx:axis id="0">
        <cx:catScaling gapWidth="0.150000006"/>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75000"/>
                    <a:lumOff val="25000"/>
                  </a:sysClr>
                </a:solidFill>
                <a:effectLst/>
                <a:latin typeface="Times New Roman" panose="02020603050405020304" pitchFamily="18" charset="0"/>
                <a:ea typeface="Calibri" panose="020F0502020204030204" pitchFamily="34" charset="0"/>
                <a:cs typeface="Times New Roman" panose="02020603050405020304" pitchFamily="18" charset="0"/>
              </a:rPr>
              <a:t>Specialty</a:t>
            </a:r>
            <a:r>
              <a:rPr lang="en-US" sz="1800" b="1" i="0" u="none" strike="noStrike" baseline="0">
                <a:solidFill>
                  <a:sysClr val="windowText" lastClr="000000">
                    <a:lumMod val="75000"/>
                    <a:lumOff val="25000"/>
                  </a:sysClr>
                </a:solidFill>
                <a:effectLst/>
                <a:latin typeface="Calibri" panose="020F0502020204030204"/>
                <a:ea typeface="Calibri" panose="020F0502020204030204" pitchFamily="34" charset="0"/>
                <a:cs typeface="Calibri" panose="020F0502020204030204" pitchFamily="34" charset="0"/>
              </a:rPr>
              <a:t> </a:t>
            </a:r>
            <a:r>
              <a:rPr lang="en-US" sz="1400" b="1" i="0" u="none" strike="noStrike" baseline="0">
                <a:solidFill>
                  <a:sysClr val="windowText" lastClr="000000">
                    <a:lumMod val="75000"/>
                    <a:lumOff val="25000"/>
                  </a:sysClr>
                </a:solidFill>
                <a:latin typeface="Times New Roman" panose="02020603050405020304" pitchFamily="18" charset="0"/>
                <a:cs typeface="Times New Roman" panose="02020603050405020304" pitchFamily="18" charset="0"/>
              </a:rPr>
              <a:t>wise Total Revenue</a:t>
            </a:r>
          </a:p>
        </cx:rich>
      </cx:tx>
    </cx:title>
    <cx:plotArea>
      <cx:plotAreaRegion>
        <cx:series layoutId="treemap" uniqueId="{EDD3976F-53E5-40B8-A50E-FBAABE13327A}">
          <cx:tx>
            <cx:txData>
              <cx:f>_xlchart.v1.10</cx:f>
              <cx:v>Sum of Revenue</cx:v>
            </cx:txData>
          </cx:tx>
          <cx:dataLabels pos="ctr">
            <cx:numFmt formatCode="#,##0;-#,##0" sourceLinked="0"/>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microsoft.com/office/2014/relationships/chartEx" Target="../charts/chartEx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228600</xdr:colOff>
      <xdr:row>1</xdr:row>
      <xdr:rowOff>12700</xdr:rowOff>
    </xdr:from>
    <xdr:to>
      <xdr:col>8</xdr:col>
      <xdr:colOff>154214</xdr:colOff>
      <xdr:row>11</xdr:row>
      <xdr:rowOff>146050</xdr:rowOff>
    </xdr:to>
    <xdr:graphicFrame macro="">
      <xdr:nvGraphicFramePr>
        <xdr:cNvPr id="2" name="Chart 1">
          <a:extLst>
            <a:ext uri="{FF2B5EF4-FFF2-40B4-BE49-F238E27FC236}">
              <a16:creationId xmlns:a16="http://schemas.microsoft.com/office/drawing/2014/main" id="{319C6B38-4CD9-0ED5-6072-EBBC76F65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12</xdr:row>
      <xdr:rowOff>50800</xdr:rowOff>
    </xdr:from>
    <xdr:to>
      <xdr:col>7</xdr:col>
      <xdr:colOff>101600</xdr:colOff>
      <xdr:row>24</xdr:row>
      <xdr:rowOff>6350</xdr:rowOff>
    </xdr:to>
    <xdr:graphicFrame macro="">
      <xdr:nvGraphicFramePr>
        <xdr:cNvPr id="3" name="Chart 2">
          <a:extLst>
            <a:ext uri="{FF2B5EF4-FFF2-40B4-BE49-F238E27FC236}">
              <a16:creationId xmlns:a16="http://schemas.microsoft.com/office/drawing/2014/main" id="{52971187-A23B-7F25-81D3-026648170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195489</xdr:colOff>
      <xdr:row>40</xdr:row>
      <xdr:rowOff>9978</xdr:rowOff>
    </xdr:from>
    <xdr:to>
      <xdr:col>12</xdr:col>
      <xdr:colOff>335643</xdr:colOff>
      <xdr:row>60</xdr:row>
      <xdr:rowOff>98878</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1F490061-4775-FEE3-5132-3FC72B1377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22739" y="7375978"/>
              <a:ext cx="8839654" cy="3771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249464</xdr:colOff>
      <xdr:row>24</xdr:row>
      <xdr:rowOff>138792</xdr:rowOff>
    </xdr:from>
    <xdr:to>
      <xdr:col>8</xdr:col>
      <xdr:colOff>376464</xdr:colOff>
      <xdr:row>39</xdr:row>
      <xdr:rowOff>160564</xdr:rowOff>
    </xdr:to>
    <xdr:graphicFrame macro="">
      <xdr:nvGraphicFramePr>
        <xdr:cNvPr id="8" name="Chart 7">
          <a:extLst>
            <a:ext uri="{FF2B5EF4-FFF2-40B4-BE49-F238E27FC236}">
              <a16:creationId xmlns:a16="http://schemas.microsoft.com/office/drawing/2014/main" id="{ECF0053E-179F-3702-2DDF-51E3BAB9D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385536</xdr:colOff>
      <xdr:row>64</xdr:row>
      <xdr:rowOff>179614</xdr:rowOff>
    </xdr:from>
    <xdr:to>
      <xdr:col>11</xdr:col>
      <xdr:colOff>68036</xdr:colOff>
      <xdr:row>80</xdr:row>
      <xdr:rowOff>19957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5E13E35-C176-3D3B-5FB2-E279B79CCC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700486" y="11965214"/>
              <a:ext cx="4584700" cy="27867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806450</xdr:colOff>
      <xdr:row>82</xdr:row>
      <xdr:rowOff>168275</xdr:rowOff>
    </xdr:from>
    <xdr:to>
      <xdr:col>6</xdr:col>
      <xdr:colOff>1066800</xdr:colOff>
      <xdr:row>96</xdr:row>
      <xdr:rowOff>101600</xdr:rowOff>
    </xdr:to>
    <xdr:graphicFrame macro="">
      <xdr:nvGraphicFramePr>
        <xdr:cNvPr id="5" name="Chart 4">
          <a:extLst>
            <a:ext uri="{FF2B5EF4-FFF2-40B4-BE49-F238E27FC236}">
              <a16:creationId xmlns:a16="http://schemas.microsoft.com/office/drawing/2014/main" id="{41E34D66-BD0A-7D08-807C-F67B95A08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415636</xdr:colOff>
      <xdr:row>29</xdr:row>
      <xdr:rowOff>0</xdr:rowOff>
    </xdr:from>
    <xdr:to>
      <xdr:col>11</xdr:col>
      <xdr:colOff>357909</xdr:colOff>
      <xdr:row>41</xdr:row>
      <xdr:rowOff>50132</xdr:rowOff>
    </xdr:to>
    <xdr:graphicFrame macro="">
      <xdr:nvGraphicFramePr>
        <xdr:cNvPr id="12" name="Chart 11">
          <a:extLst>
            <a:ext uri="{FF2B5EF4-FFF2-40B4-BE49-F238E27FC236}">
              <a16:creationId xmlns:a16="http://schemas.microsoft.com/office/drawing/2014/main" id="{26F503BC-D937-4D99-A047-3C9384399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461820</xdr:colOff>
      <xdr:row>5</xdr:row>
      <xdr:rowOff>0</xdr:rowOff>
    </xdr:from>
    <xdr:to>
      <xdr:col>11</xdr:col>
      <xdr:colOff>154480</xdr:colOff>
      <xdr:row>16</xdr:row>
      <xdr:rowOff>167690</xdr:rowOff>
    </xdr:to>
    <xdr:graphicFrame macro="">
      <xdr:nvGraphicFramePr>
        <xdr:cNvPr id="13" name="Chart 12">
          <a:extLst>
            <a:ext uri="{FF2B5EF4-FFF2-40B4-BE49-F238E27FC236}">
              <a16:creationId xmlns:a16="http://schemas.microsoft.com/office/drawing/2014/main" id="{4AC2FBD6-3BC9-424B-B043-8AC90DF24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154479</xdr:colOff>
      <xdr:row>5</xdr:row>
      <xdr:rowOff>0</xdr:rowOff>
    </xdr:from>
    <xdr:to>
      <xdr:col>18</xdr:col>
      <xdr:colOff>27991</xdr:colOff>
      <xdr:row>16</xdr:row>
      <xdr:rowOff>167690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0A517E21-8B0D-487F-AF80-0A24CF95AD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860079" y="920750"/>
              <a:ext cx="4140712" cy="2193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480821</xdr:colOff>
      <xdr:row>1</xdr:row>
      <xdr:rowOff>41776</xdr:rowOff>
    </xdr:from>
    <xdr:to>
      <xdr:col>11</xdr:col>
      <xdr:colOff>264174</xdr:colOff>
      <xdr:row>4</xdr:row>
      <xdr:rowOff>41776</xdr:rowOff>
    </xdr:to>
    <xdr:sp macro="" textlink="">
      <xdr:nvSpPr>
        <xdr:cNvPr id="17" name="Rectangle: Rounded Corners 16">
          <a:extLst>
            <a:ext uri="{FF2B5EF4-FFF2-40B4-BE49-F238E27FC236}">
              <a16:creationId xmlns:a16="http://schemas.microsoft.com/office/drawing/2014/main" id="{35F78195-1EA4-AFBE-74A1-09C746AB8193}"/>
            </a:ext>
          </a:extLst>
        </xdr:cNvPr>
        <xdr:cNvSpPr/>
      </xdr:nvSpPr>
      <xdr:spPr>
        <a:xfrm>
          <a:off x="1090755" y="225592"/>
          <a:ext cx="5882695" cy="55144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latin typeface="Times New Roman" panose="02020603050405020304" pitchFamily="18" charset="0"/>
              <a:cs typeface="Times New Roman" panose="02020603050405020304" pitchFamily="18" charset="0"/>
            </a:rPr>
            <a:t>Hospital_Operations_Finance_Dashboard</a:t>
          </a:r>
        </a:p>
      </xdr:txBody>
    </xdr:sp>
    <xdr:clientData/>
  </xdr:twoCellAnchor>
  <xdr:twoCellAnchor>
    <xdr:from>
      <xdr:col>4</xdr:col>
      <xdr:colOff>473364</xdr:colOff>
      <xdr:row>17</xdr:row>
      <xdr:rowOff>0</xdr:rowOff>
    </xdr:from>
    <xdr:to>
      <xdr:col>11</xdr:col>
      <xdr:colOff>154479</xdr:colOff>
      <xdr:row>29</xdr:row>
      <xdr:rowOff>0</xdr:rowOff>
    </xdr:to>
    <xdr:graphicFrame macro="">
      <xdr:nvGraphicFramePr>
        <xdr:cNvPr id="20" name="Chart 19">
          <a:extLst>
            <a:ext uri="{FF2B5EF4-FFF2-40B4-BE49-F238E27FC236}">
              <a16:creationId xmlns:a16="http://schemas.microsoft.com/office/drawing/2014/main" id="{67B0832F-8520-4C83-B196-4033213C3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221659</xdr:colOff>
      <xdr:row>1</xdr:row>
      <xdr:rowOff>59567</xdr:rowOff>
    </xdr:from>
    <xdr:to>
      <xdr:col>14</xdr:col>
      <xdr:colOff>233947</xdr:colOff>
      <xdr:row>4</xdr:row>
      <xdr:rowOff>104390</xdr:rowOff>
    </xdr:to>
    <xdr:sp macro="" textlink="">
      <xdr:nvSpPr>
        <xdr:cNvPr id="21" name="Rectangle 20">
          <a:extLst>
            <a:ext uri="{FF2B5EF4-FFF2-40B4-BE49-F238E27FC236}">
              <a16:creationId xmlns:a16="http://schemas.microsoft.com/office/drawing/2014/main" id="{D2A2C763-6630-0CE5-D356-5ABE8F846DD8}"/>
            </a:ext>
          </a:extLst>
        </xdr:cNvPr>
        <xdr:cNvSpPr/>
      </xdr:nvSpPr>
      <xdr:spPr>
        <a:xfrm>
          <a:off x="7540870" y="243383"/>
          <a:ext cx="1232156" cy="59627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ysClr val="windowText" lastClr="000000"/>
              </a:solidFill>
              <a:latin typeface="Times New Roman" panose="02020603050405020304" pitchFamily="18" charset="0"/>
              <a:cs typeface="Times New Roman" panose="02020603050405020304" pitchFamily="18" charset="0"/>
            </a:rPr>
            <a:t>Total  Cases</a:t>
          </a:r>
        </a:p>
        <a:p>
          <a:pPr algn="ctr"/>
          <a:r>
            <a:rPr lang="en-IN" sz="11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27591240554</a:t>
          </a:r>
          <a:r>
            <a:rPr lang="en-IN"/>
            <a:t> </a:t>
          </a:r>
          <a:endParaRPr lang="en-US"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167106</xdr:colOff>
      <xdr:row>1</xdr:row>
      <xdr:rowOff>50132</xdr:rowOff>
    </xdr:from>
    <xdr:to>
      <xdr:col>17</xdr:col>
      <xdr:colOff>182048</xdr:colOff>
      <xdr:row>4</xdr:row>
      <xdr:rowOff>94955</xdr:rowOff>
    </xdr:to>
    <xdr:sp macro="" textlink="">
      <xdr:nvSpPr>
        <xdr:cNvPr id="22" name="Rectangle 21">
          <a:extLst>
            <a:ext uri="{FF2B5EF4-FFF2-40B4-BE49-F238E27FC236}">
              <a16:creationId xmlns:a16="http://schemas.microsoft.com/office/drawing/2014/main" id="{095738A1-7403-4705-8DBA-24662F618252}"/>
            </a:ext>
          </a:extLst>
        </xdr:cNvPr>
        <xdr:cNvSpPr/>
      </xdr:nvSpPr>
      <xdr:spPr>
        <a:xfrm>
          <a:off x="9316119" y="233948"/>
          <a:ext cx="1234811" cy="59627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latin typeface="Times New Roman" panose="02020603050405020304" pitchFamily="18" charset="0"/>
              <a:cs typeface="Times New Roman" panose="02020603050405020304" pitchFamily="18" charset="0"/>
            </a:rPr>
            <a:t>Avg CMI Value</a:t>
          </a:r>
        </a:p>
        <a:p>
          <a:pPr algn="ctr"/>
          <a:r>
            <a:rPr lang="en-IN" sz="11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1.051</a:t>
          </a:r>
          <a:r>
            <a:rPr lang="en-IN" b="1">
              <a:solidFill>
                <a:sysClr val="windowText" lastClr="000000"/>
              </a:solidFill>
              <a:latin typeface="Times New Roman" panose="02020603050405020304" pitchFamily="18" charset="0"/>
              <a:cs typeface="Times New Roman" panose="02020603050405020304" pitchFamily="18" charset="0"/>
            </a:rPr>
            <a:t> </a:t>
          </a:r>
          <a:endParaRPr lang="en-US"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427182</xdr:colOff>
      <xdr:row>14</xdr:row>
      <xdr:rowOff>11545</xdr:rowOff>
    </xdr:from>
    <xdr:to>
      <xdr:col>4</xdr:col>
      <xdr:colOff>465158</xdr:colOff>
      <xdr:row>21</xdr:row>
      <xdr:rowOff>11545</xdr:rowOff>
    </xdr:to>
    <mc:AlternateContent xmlns:mc="http://schemas.openxmlformats.org/markup-compatibility/2006" xmlns:a14="http://schemas.microsoft.com/office/drawing/2010/main">
      <mc:Choice Requires="a14">
        <xdr:graphicFrame macro="">
          <xdr:nvGraphicFramePr>
            <xdr:cNvPr id="2" name="Case type">
              <a:extLst>
                <a:ext uri="{FF2B5EF4-FFF2-40B4-BE49-F238E27FC236}">
                  <a16:creationId xmlns:a16="http://schemas.microsoft.com/office/drawing/2014/main" id="{9D76587C-65A5-2489-5386-747359637E8E}"/>
                </a:ext>
              </a:extLst>
            </xdr:cNvPr>
            <xdr:cNvGraphicFramePr/>
          </xdr:nvGraphicFramePr>
          <xdr:xfrm>
            <a:off x="0" y="0"/>
            <a:ext cx="0" cy="0"/>
          </xdr:xfrm>
          <a:graphic>
            <a:graphicData uri="http://schemas.microsoft.com/office/drawing/2010/slicer">
              <sle:slicer xmlns:sle="http://schemas.microsoft.com/office/drawing/2010/slicer" name="Case type"/>
            </a:graphicData>
          </a:graphic>
        </xdr:graphicFrame>
      </mc:Choice>
      <mc:Fallback xmlns="">
        <xdr:sp macro="" textlink="">
          <xdr:nvSpPr>
            <xdr:cNvPr id="0" name=""/>
            <xdr:cNvSpPr>
              <a:spLocks noTextEdit="1"/>
            </xdr:cNvSpPr>
          </xdr:nvSpPr>
          <xdr:spPr>
            <a:xfrm>
              <a:off x="1039091" y="2597727"/>
              <a:ext cx="1873703" cy="1293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438728</xdr:colOff>
      <xdr:row>6</xdr:row>
      <xdr:rowOff>80818</xdr:rowOff>
    </xdr:from>
    <xdr:to>
      <xdr:col>4</xdr:col>
      <xdr:colOff>471521</xdr:colOff>
      <xdr:row>11</xdr:row>
      <xdr:rowOff>64764</xdr:rowOff>
    </xdr:to>
    <mc:AlternateContent xmlns:mc="http://schemas.openxmlformats.org/markup-compatibility/2006" xmlns:a14="http://schemas.microsoft.com/office/drawing/2010/main">
      <mc:Choice Requires="a14">
        <xdr:graphicFrame macro="">
          <xdr:nvGraphicFramePr>
            <xdr:cNvPr id="3" name="Surgical Mix">
              <a:extLst>
                <a:ext uri="{FF2B5EF4-FFF2-40B4-BE49-F238E27FC236}">
                  <a16:creationId xmlns:a16="http://schemas.microsoft.com/office/drawing/2014/main" id="{5C297DF3-2DEA-B23F-EB71-A3536F5012B8}"/>
                </a:ext>
              </a:extLst>
            </xdr:cNvPr>
            <xdr:cNvGraphicFramePr/>
          </xdr:nvGraphicFramePr>
          <xdr:xfrm>
            <a:off x="0" y="0"/>
            <a:ext cx="0" cy="0"/>
          </xdr:xfrm>
          <a:graphic>
            <a:graphicData uri="http://schemas.microsoft.com/office/drawing/2010/slicer">
              <sle:slicer xmlns:sle="http://schemas.microsoft.com/office/drawing/2010/slicer" name="Surgical Mix"/>
            </a:graphicData>
          </a:graphic>
        </xdr:graphicFrame>
      </mc:Choice>
      <mc:Fallback xmlns="">
        <xdr:sp macro="" textlink="">
          <xdr:nvSpPr>
            <xdr:cNvPr id="0" name=""/>
            <xdr:cNvSpPr>
              <a:spLocks noTextEdit="1"/>
            </xdr:cNvSpPr>
          </xdr:nvSpPr>
          <xdr:spPr>
            <a:xfrm>
              <a:off x="1050637" y="1189182"/>
              <a:ext cx="1868520" cy="907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150091</xdr:colOff>
      <xdr:row>16</xdr:row>
      <xdr:rowOff>150092</xdr:rowOff>
    </xdr:from>
    <xdr:to>
      <xdr:col>18</xdr:col>
      <xdr:colOff>34636</xdr:colOff>
      <xdr:row>29</xdr:row>
      <xdr:rowOff>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46A7DE32-04B9-4FAE-BE24-D7771DBBF1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855691" y="3096492"/>
              <a:ext cx="4151745" cy="22438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357908</xdr:colOff>
      <xdr:row>29</xdr:row>
      <xdr:rowOff>11545</xdr:rowOff>
    </xdr:from>
    <xdr:to>
      <xdr:col>18</xdr:col>
      <xdr:colOff>34635</xdr:colOff>
      <xdr:row>41</xdr:row>
      <xdr:rowOff>34637</xdr:rowOff>
    </xdr:to>
    <xdr:graphicFrame macro="">
      <xdr:nvGraphicFramePr>
        <xdr:cNvPr id="19" name="Chart 18">
          <a:extLst>
            <a:ext uri="{FF2B5EF4-FFF2-40B4-BE49-F238E27FC236}">
              <a16:creationId xmlns:a16="http://schemas.microsoft.com/office/drawing/2014/main" id="{47DC61EA-74FB-40A6-BEEF-3A315E6D6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404091</xdr:colOff>
      <xdr:row>23</xdr:row>
      <xdr:rowOff>117765</xdr:rowOff>
    </xdr:from>
    <xdr:to>
      <xdr:col>4</xdr:col>
      <xdr:colOff>465860</xdr:colOff>
      <xdr:row>28</xdr:row>
      <xdr:rowOff>161637</xdr:rowOff>
    </xdr:to>
    <mc:AlternateContent xmlns:mc="http://schemas.openxmlformats.org/markup-compatibility/2006" xmlns:a14="http://schemas.microsoft.com/office/drawing/2010/main">
      <mc:Choice Requires="a14">
        <xdr:graphicFrame macro="">
          <xdr:nvGraphicFramePr>
            <xdr:cNvPr id="4" name="Doctor Status">
              <a:extLst>
                <a:ext uri="{FF2B5EF4-FFF2-40B4-BE49-F238E27FC236}">
                  <a16:creationId xmlns:a16="http://schemas.microsoft.com/office/drawing/2014/main" id="{BA48385C-304D-E296-BC3B-215C492B5825}"/>
                </a:ext>
              </a:extLst>
            </xdr:cNvPr>
            <xdr:cNvGraphicFramePr/>
          </xdr:nvGraphicFramePr>
          <xdr:xfrm>
            <a:off x="0" y="0"/>
            <a:ext cx="0" cy="0"/>
          </xdr:xfrm>
          <a:graphic>
            <a:graphicData uri="http://schemas.microsoft.com/office/drawing/2010/slicer">
              <sle:slicer xmlns:sle="http://schemas.microsoft.com/office/drawing/2010/slicer" name="Doctor Status"/>
            </a:graphicData>
          </a:graphic>
        </xdr:graphicFrame>
      </mc:Choice>
      <mc:Fallback xmlns="">
        <xdr:sp macro="" textlink="">
          <xdr:nvSpPr>
            <xdr:cNvPr id="0" name=""/>
            <xdr:cNvSpPr>
              <a:spLocks noTextEdit="1"/>
            </xdr:cNvSpPr>
          </xdr:nvSpPr>
          <xdr:spPr>
            <a:xfrm>
              <a:off x="1016000" y="4366492"/>
              <a:ext cx="1897496" cy="967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2.929087037039" createdVersion="8" refreshedVersion="8" minRefreshableVersion="3" recordCount="223" xr:uid="{C4AE6B17-93F7-4360-88CE-F70AA4AC0F18}">
  <cacheSource type="worksheet">
    <worksheetSource name="dummy_hospital_generated"/>
  </cacheSource>
  <cacheFields count="22">
    <cacheField name="Month" numFmtId="14">
      <sharedItems containsSemiMixedTypes="0" containsNonDate="0" containsDate="1" containsString="0" minDate="2025-01-01T00:00:00" maxDate="2025-12-02T00:00:00" count="12">
        <d v="2025-02-01T00:00:00"/>
        <d v="2025-06-01T00:00:00"/>
        <d v="2025-09-01T00:00:00"/>
        <d v="2025-03-01T00:00:00"/>
        <d v="2025-12-01T00:00:00"/>
        <d v="2025-10-01T00:00:00"/>
        <d v="2025-07-01T00:00:00"/>
        <d v="2025-05-01T00:00:00"/>
        <d v="2025-11-01T00:00:00"/>
        <d v="2025-01-01T00:00:00"/>
        <d v="2025-04-01T00:00:00"/>
        <d v="2025-08-01T00:00:00"/>
      </sharedItems>
      <fieldGroup par="21" base="0">
        <rangePr groupBy="days" startDate="2025-01-01T00:00:00" endDate="2025-12-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5"/>
        </groupItems>
      </fieldGroup>
    </cacheField>
    <cacheField name="Case_No" numFmtId="0">
      <sharedItems containsSemiMixedTypes="0" containsString="0" containsNumber="1" containsInteger="1" minValue="123458660" maxValue="123998385"/>
    </cacheField>
    <cacheField name="DOB" numFmtId="0">
      <sharedItems containsSemiMixedTypes="0" containsString="0" containsNumber="1" containsInteger="1" minValue="1956" maxValue="2005" count="50">
        <n v="2002"/>
        <n v="2000"/>
        <n v="1983"/>
        <n v="1958"/>
        <n v="1990"/>
        <n v="1979"/>
        <n v="1973"/>
        <n v="1975"/>
        <n v="1998"/>
        <n v="1991"/>
        <n v="1987"/>
        <n v="1995"/>
        <n v="1993"/>
        <n v="1994"/>
        <n v="1997"/>
        <n v="1967"/>
        <n v="1999"/>
        <n v="1969"/>
        <n v="1984"/>
        <n v="1957"/>
        <n v="1988"/>
        <n v="1992"/>
        <n v="1982"/>
        <n v="1964"/>
        <n v="1985"/>
        <n v="1986"/>
        <n v="1961"/>
        <n v="2003"/>
        <n v="1978"/>
        <n v="2004"/>
        <n v="2005"/>
        <n v="1960"/>
        <n v="1963"/>
        <n v="1965"/>
        <n v="1956"/>
        <n v="1996"/>
        <n v="2001"/>
        <n v="1977"/>
        <n v="1966"/>
        <n v="1972"/>
        <n v="1974"/>
        <n v="1970"/>
        <n v="1968"/>
        <n v="1959"/>
        <n v="1976"/>
        <n v="1980"/>
        <n v="1971"/>
        <n v="1989"/>
        <n v="1962"/>
        <n v="1981"/>
      </sharedItems>
    </cacheField>
    <cacheField name="Nationality" numFmtId="0">
      <sharedItems count="14">
        <s v="Pakistan"/>
        <s v="UAE"/>
        <s v="Oman"/>
        <s v="Philippines"/>
        <s v="India"/>
        <s v="Indonesia"/>
        <s v="USA"/>
        <s v="Germany"/>
        <s v="Bangladesh"/>
        <s v="Netherlands"/>
        <s v="Egypt"/>
        <s v="Japan"/>
        <s v="Denmark"/>
        <s v="Sri Lanka"/>
      </sharedItems>
    </cacheField>
    <cacheField name="Gender" numFmtId="0">
      <sharedItems count="2">
        <s v="F"/>
        <s v="M"/>
      </sharedItems>
    </cacheField>
    <cacheField name="DoctorLicense" numFmtId="0">
      <sharedItems/>
    </cacheField>
    <cacheField name="DoctorName" numFmtId="0">
      <sharedItems/>
    </cacheField>
    <cacheField name="Doctor Type" numFmtId="0">
      <sharedItems count="3">
        <s v="Consultant"/>
        <s v="Specialist"/>
        <s v="GP"/>
      </sharedItems>
    </cacheField>
    <cacheField name="Doctor Status" numFmtId="0">
      <sharedItems count="2">
        <s v="Inactive"/>
        <s v="Active"/>
      </sharedItems>
    </cacheField>
    <cacheField name="CMI Value" numFmtId="0">
      <sharedItems containsSemiMixedTypes="0" containsString="0" containsNumber="1" minValue="0.77100000000000002" maxValue="1.333"/>
    </cacheField>
    <cacheField name="Specialty" numFmtId="0">
      <sharedItems count="10">
        <s v="Emergency"/>
        <s v="Nephrology"/>
        <s v="Gastroenterology"/>
        <s v="Family Medicine"/>
        <s v="Orthopaedics"/>
        <s v="General Surgery"/>
        <s v="Obstetrics &amp; Gynecology"/>
        <s v="Cardiology"/>
        <s v="Pulmonology"/>
        <s v="Internal Medicine"/>
      </sharedItems>
    </cacheField>
    <cacheField name="Insurance/Payer" numFmtId="0">
      <sharedItems count="4">
        <s v="PureWin Insurance"/>
        <s v="Nextcare Insurance"/>
        <s v="Goodhealth Insurance"/>
        <s v="TotalHealth Insurance"/>
      </sharedItems>
    </cacheField>
    <cacheField name="InsurancePlanName" numFmtId="0">
      <sharedItems/>
    </cacheField>
    <cacheField name="Payer Mix" numFmtId="0">
      <sharedItems count="1">
        <s v="Insurance"/>
      </sharedItems>
    </cacheField>
    <cacheField name="Case type" numFmtId="0">
      <sharedItems count="3">
        <s v="OP"/>
        <s v="IP"/>
        <s v="DC"/>
      </sharedItems>
    </cacheField>
    <cacheField name="LOS" numFmtId="0">
      <sharedItems containsSemiMixedTypes="0" containsString="0" containsNumber="1" containsInteger="1" minValue="0" maxValue="7"/>
    </cacheField>
    <cacheField name="Severity" numFmtId="0">
      <sharedItems containsSemiMixedTypes="0" containsString="0" containsNumber="1" containsInteger="1" minValue="1" maxValue="3"/>
    </cacheField>
    <cacheField name="Surgical Mix" numFmtId="0">
      <sharedItems count="2">
        <s v="Medical"/>
        <s v="Surgery"/>
      </sharedItems>
    </cacheField>
    <cacheField name="Discharge Time" numFmtId="164">
      <sharedItems containsSemiMixedTypes="0" containsNonDate="0" containsDate="1" containsString="0" minDate="1899-12-30T06:05:00" maxDate="1899-12-30T21:47:00"/>
    </cacheField>
    <cacheField name="Discharge Before 12PM" numFmtId="0">
      <sharedItems count="2">
        <s v="Yes"/>
        <s v="No"/>
      </sharedItems>
    </cacheField>
    <cacheField name="Revenue" numFmtId="0">
      <sharedItems containsSemiMixedTypes="0" containsString="0" containsNumber="1" containsInteger="1" minValue="135" maxValue="160962"/>
    </cacheField>
    <cacheField name="Months" numFmtId="0" databaseField="0">
      <fieldGroup base="0">
        <rangePr groupBy="months" startDate="2025-01-01T00:00:00" endDate="2025-12-02T00:00:00"/>
        <groupItems count="14">
          <s v="&lt;01-01-2025"/>
          <s v="Jan"/>
          <s v="Feb"/>
          <s v="Mar"/>
          <s v="Apr"/>
          <s v="May"/>
          <s v="Jun"/>
          <s v="Jul"/>
          <s v="Aug"/>
          <s v="Sep"/>
          <s v="Oct"/>
          <s v="Nov"/>
          <s v="Dec"/>
          <s v="&gt;02-12-2025"/>
        </groupItems>
      </fieldGroup>
    </cacheField>
  </cacheFields>
  <extLst>
    <ext xmlns:x14="http://schemas.microsoft.com/office/spreadsheetml/2009/9/main" uri="{725AE2AE-9491-48be-B2B4-4EB974FC3084}">
      <x14:pivotCacheDefinition pivotCacheId="82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
  <r>
    <x v="0"/>
    <n v="123517868"/>
    <x v="0"/>
    <x v="0"/>
    <x v="0"/>
    <s v="ABC123"/>
    <s v="Dr. Shawn Martin"/>
    <x v="0"/>
    <x v="0"/>
    <n v="1.048"/>
    <x v="0"/>
    <x v="0"/>
    <s v="Premium"/>
    <x v="0"/>
    <x v="0"/>
    <n v="0"/>
    <n v="1"/>
    <x v="0"/>
    <d v="1899-12-30T07:00:00"/>
    <x v="0"/>
    <n v="548"/>
  </r>
  <r>
    <x v="1"/>
    <n v="123605097"/>
    <x v="1"/>
    <x v="1"/>
    <x v="0"/>
    <s v="ABC234"/>
    <s v="Dr. Thomas Muller"/>
    <x v="1"/>
    <x v="1"/>
    <n v="1.006"/>
    <x v="1"/>
    <x v="1"/>
    <s v="NC-Blue"/>
    <x v="0"/>
    <x v="1"/>
    <n v="4"/>
    <n v="3"/>
    <x v="0"/>
    <d v="1899-12-30T13:39:00"/>
    <x v="1"/>
    <n v="117129"/>
  </r>
  <r>
    <x v="2"/>
    <n v="123590824"/>
    <x v="2"/>
    <x v="1"/>
    <x v="1"/>
    <s v="ABC456"/>
    <s v="Dr. Ahmed Zayed"/>
    <x v="1"/>
    <x v="1"/>
    <n v="0.998"/>
    <x v="2"/>
    <x v="2"/>
    <s v="GH-2"/>
    <x v="0"/>
    <x v="1"/>
    <n v="6"/>
    <n v="1"/>
    <x v="0"/>
    <d v="1899-12-30T16:22:00"/>
    <x v="1"/>
    <n v="66031"/>
  </r>
  <r>
    <x v="3"/>
    <n v="123602168"/>
    <x v="1"/>
    <x v="2"/>
    <x v="1"/>
    <s v="QWE123"/>
    <s v="Dr. Omar Khalid"/>
    <x v="2"/>
    <x v="1"/>
    <n v="1.0329999999999999"/>
    <x v="3"/>
    <x v="0"/>
    <s v="Advance"/>
    <x v="0"/>
    <x v="1"/>
    <n v="3"/>
    <n v="2"/>
    <x v="0"/>
    <d v="1899-12-30T16:45:00"/>
    <x v="1"/>
    <n v="49607"/>
  </r>
  <r>
    <x v="0"/>
    <n v="123584744"/>
    <x v="3"/>
    <x v="3"/>
    <x v="0"/>
    <s v="VBN123"/>
    <s v="Dr. Peter Novak"/>
    <x v="0"/>
    <x v="1"/>
    <n v="1.1419999999999999"/>
    <x v="4"/>
    <x v="2"/>
    <s v="GH-2"/>
    <x v="0"/>
    <x v="0"/>
    <n v="0"/>
    <n v="3"/>
    <x v="0"/>
    <d v="1899-12-30T15:00:00"/>
    <x v="1"/>
    <n v="950"/>
  </r>
  <r>
    <x v="4"/>
    <n v="123861831"/>
    <x v="4"/>
    <x v="4"/>
    <x v="1"/>
    <s v="FGH234"/>
    <s v="Dr. Hana Suzuki"/>
    <x v="0"/>
    <x v="0"/>
    <n v="1.1259999999999999"/>
    <x v="5"/>
    <x v="0"/>
    <s v="Basic"/>
    <x v="0"/>
    <x v="1"/>
    <n v="4"/>
    <n v="1"/>
    <x v="0"/>
    <d v="1899-12-30T07:37:00"/>
    <x v="0"/>
    <n v="33016"/>
  </r>
  <r>
    <x v="2"/>
    <n v="123913425"/>
    <x v="5"/>
    <x v="1"/>
    <x v="0"/>
    <s v="ABC123"/>
    <s v="Dr. Shawn Martin"/>
    <x v="0"/>
    <x v="1"/>
    <n v="1.042"/>
    <x v="0"/>
    <x v="3"/>
    <s v="TH-Standard"/>
    <x v="0"/>
    <x v="2"/>
    <n v="1"/>
    <n v="1"/>
    <x v="0"/>
    <d v="1899-12-30T16:53:00"/>
    <x v="1"/>
    <n v="2145"/>
  </r>
  <r>
    <x v="5"/>
    <n v="123900212"/>
    <x v="6"/>
    <x v="5"/>
    <x v="0"/>
    <s v="ABC123"/>
    <s v="Dr. Shawn Martin"/>
    <x v="0"/>
    <x v="1"/>
    <n v="1.125"/>
    <x v="0"/>
    <x v="0"/>
    <s v="Basic"/>
    <x v="0"/>
    <x v="2"/>
    <n v="1"/>
    <n v="2"/>
    <x v="0"/>
    <d v="1899-12-30T07:31:00"/>
    <x v="0"/>
    <n v="4630"/>
  </r>
  <r>
    <x v="5"/>
    <n v="123513271"/>
    <x v="7"/>
    <x v="6"/>
    <x v="1"/>
    <s v="HJK123"/>
    <s v="Dr. Priya Iyer"/>
    <x v="1"/>
    <x v="1"/>
    <n v="1.1910000000000001"/>
    <x v="6"/>
    <x v="3"/>
    <s v="TH-Plus"/>
    <x v="0"/>
    <x v="1"/>
    <n v="3"/>
    <n v="3"/>
    <x v="0"/>
    <d v="1899-12-30T15:04:00"/>
    <x v="1"/>
    <n v="36501"/>
  </r>
  <r>
    <x v="6"/>
    <n v="123935607"/>
    <x v="4"/>
    <x v="4"/>
    <x v="1"/>
    <s v="DEF232"/>
    <s v="Dr. Lily James"/>
    <x v="1"/>
    <x v="0"/>
    <n v="0.88300000000000001"/>
    <x v="7"/>
    <x v="1"/>
    <s v="NC-Blue"/>
    <x v="0"/>
    <x v="1"/>
    <n v="4"/>
    <n v="1"/>
    <x v="0"/>
    <d v="1899-12-30T11:06:00"/>
    <x v="0"/>
    <n v="26141"/>
  </r>
  <r>
    <x v="0"/>
    <n v="123492207"/>
    <x v="8"/>
    <x v="1"/>
    <x v="0"/>
    <s v="DEF232"/>
    <s v="Dr. Lily James"/>
    <x v="1"/>
    <x v="1"/>
    <n v="1.071"/>
    <x v="7"/>
    <x v="3"/>
    <s v="TH-Plus"/>
    <x v="0"/>
    <x v="0"/>
    <n v="0"/>
    <n v="2"/>
    <x v="0"/>
    <d v="1899-12-30T08:15:00"/>
    <x v="0"/>
    <n v="925"/>
  </r>
  <r>
    <x v="1"/>
    <n v="123779371"/>
    <x v="9"/>
    <x v="4"/>
    <x v="1"/>
    <s v="DEF232"/>
    <s v="Dr. Lily James"/>
    <x v="1"/>
    <x v="1"/>
    <n v="0.88500000000000001"/>
    <x v="7"/>
    <x v="0"/>
    <s v="Basic"/>
    <x v="0"/>
    <x v="1"/>
    <n v="3"/>
    <n v="2"/>
    <x v="0"/>
    <d v="1899-12-30T07:59:00"/>
    <x v="0"/>
    <n v="16036"/>
  </r>
  <r>
    <x v="6"/>
    <n v="123650676"/>
    <x v="10"/>
    <x v="7"/>
    <x v="1"/>
    <s v="DEF232"/>
    <s v="Dr. Lily James"/>
    <x v="1"/>
    <x v="1"/>
    <n v="0.94799999999999995"/>
    <x v="7"/>
    <x v="2"/>
    <s v="GH-2"/>
    <x v="0"/>
    <x v="0"/>
    <n v="0"/>
    <n v="3"/>
    <x v="0"/>
    <d v="1899-12-30T11:36:00"/>
    <x v="0"/>
    <n v="2195"/>
  </r>
  <r>
    <x v="4"/>
    <n v="123904616"/>
    <x v="11"/>
    <x v="4"/>
    <x v="0"/>
    <s v="QWE234"/>
    <s v="Dr. Aisha Rahman"/>
    <x v="1"/>
    <x v="1"/>
    <n v="1.038"/>
    <x v="8"/>
    <x v="0"/>
    <s v="Advance"/>
    <x v="0"/>
    <x v="0"/>
    <n v="0"/>
    <n v="2"/>
    <x v="0"/>
    <d v="1899-12-30T09:37:00"/>
    <x v="0"/>
    <n v="446"/>
  </r>
  <r>
    <x v="7"/>
    <n v="123958307"/>
    <x v="11"/>
    <x v="8"/>
    <x v="1"/>
    <s v="ABC456"/>
    <s v="Dr. Ahmed Zayed"/>
    <x v="1"/>
    <x v="1"/>
    <n v="1.097"/>
    <x v="2"/>
    <x v="0"/>
    <s v="Basic"/>
    <x v="0"/>
    <x v="0"/>
    <n v="0"/>
    <n v="1"/>
    <x v="0"/>
    <d v="1899-12-30T07:49:00"/>
    <x v="0"/>
    <n v="135"/>
  </r>
  <r>
    <x v="6"/>
    <n v="123953904"/>
    <x v="12"/>
    <x v="9"/>
    <x v="1"/>
    <s v="HJK123"/>
    <s v="Dr. Priya Iyer"/>
    <x v="1"/>
    <x v="1"/>
    <n v="0.90500000000000003"/>
    <x v="6"/>
    <x v="0"/>
    <s v="Premium"/>
    <x v="0"/>
    <x v="1"/>
    <n v="4"/>
    <n v="1"/>
    <x v="0"/>
    <d v="1899-12-30T14:00:00"/>
    <x v="1"/>
    <n v="23382"/>
  </r>
  <r>
    <x v="1"/>
    <n v="123781615"/>
    <x v="13"/>
    <x v="1"/>
    <x v="1"/>
    <s v="QWE234"/>
    <s v="Dr. Aisha Rahman"/>
    <x v="1"/>
    <x v="1"/>
    <n v="1.0620000000000001"/>
    <x v="8"/>
    <x v="3"/>
    <s v="TH-Plus"/>
    <x v="0"/>
    <x v="0"/>
    <n v="0"/>
    <n v="1"/>
    <x v="0"/>
    <d v="1899-12-30T06:05:00"/>
    <x v="0"/>
    <n v="1584"/>
  </r>
  <r>
    <x v="6"/>
    <n v="123610887"/>
    <x v="14"/>
    <x v="5"/>
    <x v="0"/>
    <s v="ABC123"/>
    <s v="Dr. Shawn Martin"/>
    <x v="0"/>
    <x v="1"/>
    <n v="1.1100000000000001"/>
    <x v="0"/>
    <x v="0"/>
    <s v="Premium"/>
    <x v="0"/>
    <x v="0"/>
    <n v="0"/>
    <n v="2"/>
    <x v="0"/>
    <d v="1899-12-30T06:25:00"/>
    <x v="0"/>
    <n v="2153"/>
  </r>
  <r>
    <x v="8"/>
    <n v="123770113"/>
    <x v="7"/>
    <x v="1"/>
    <x v="1"/>
    <s v="FGH123"/>
    <s v="Dr. Sofia Kim"/>
    <x v="2"/>
    <x v="0"/>
    <n v="0.93700000000000006"/>
    <x v="9"/>
    <x v="0"/>
    <s v="Advance"/>
    <x v="0"/>
    <x v="1"/>
    <n v="3"/>
    <n v="1"/>
    <x v="0"/>
    <d v="1899-12-30T11:52:00"/>
    <x v="0"/>
    <n v="30926"/>
  </r>
  <r>
    <x v="9"/>
    <n v="123539565"/>
    <x v="5"/>
    <x v="8"/>
    <x v="1"/>
    <s v="QWE234"/>
    <s v="Dr. Aisha Rahman"/>
    <x v="1"/>
    <x v="1"/>
    <n v="1.0129999999999999"/>
    <x v="8"/>
    <x v="1"/>
    <s v="NC-Gold"/>
    <x v="0"/>
    <x v="1"/>
    <n v="3"/>
    <n v="1"/>
    <x v="0"/>
    <d v="1899-12-30T11:15:00"/>
    <x v="0"/>
    <n v="58089"/>
  </r>
  <r>
    <x v="5"/>
    <n v="123518826"/>
    <x v="15"/>
    <x v="1"/>
    <x v="0"/>
    <s v="FGH234"/>
    <s v="Dr. Hana Suzuki"/>
    <x v="0"/>
    <x v="1"/>
    <n v="0.93300000000000005"/>
    <x v="5"/>
    <x v="2"/>
    <s v="GH-1"/>
    <x v="0"/>
    <x v="0"/>
    <n v="0"/>
    <n v="1"/>
    <x v="0"/>
    <d v="1899-12-30T17:35:00"/>
    <x v="1"/>
    <n v="360"/>
  </r>
  <r>
    <x v="2"/>
    <n v="123561982"/>
    <x v="16"/>
    <x v="7"/>
    <x v="1"/>
    <s v="ABC234"/>
    <s v="Dr. Thomas Muller"/>
    <x v="1"/>
    <x v="1"/>
    <n v="1.1299999999999999"/>
    <x v="1"/>
    <x v="0"/>
    <s v="Premium"/>
    <x v="0"/>
    <x v="1"/>
    <n v="2"/>
    <n v="2"/>
    <x v="0"/>
    <d v="1899-12-30T21:32:00"/>
    <x v="1"/>
    <n v="8006"/>
  </r>
  <r>
    <x v="7"/>
    <n v="123551004"/>
    <x v="16"/>
    <x v="10"/>
    <x v="1"/>
    <s v="ABC234"/>
    <s v="Dr. Thomas Muller"/>
    <x v="1"/>
    <x v="1"/>
    <n v="0.94199999999999995"/>
    <x v="1"/>
    <x v="0"/>
    <s v="Advance"/>
    <x v="0"/>
    <x v="0"/>
    <n v="0"/>
    <n v="3"/>
    <x v="0"/>
    <d v="1899-12-30T08:58:00"/>
    <x v="0"/>
    <n v="1466"/>
  </r>
  <r>
    <x v="8"/>
    <n v="123777581"/>
    <x v="17"/>
    <x v="9"/>
    <x v="0"/>
    <s v="DEF232"/>
    <s v="Dr. Lily James"/>
    <x v="1"/>
    <x v="1"/>
    <n v="0.89800000000000002"/>
    <x v="7"/>
    <x v="1"/>
    <s v="NC-Gold"/>
    <x v="0"/>
    <x v="2"/>
    <n v="1"/>
    <n v="3"/>
    <x v="1"/>
    <d v="1899-12-30T21:28:00"/>
    <x v="1"/>
    <n v="4237"/>
  </r>
  <r>
    <x v="2"/>
    <n v="123736701"/>
    <x v="16"/>
    <x v="1"/>
    <x v="1"/>
    <s v="ABC234"/>
    <s v="Dr. Thomas Muller"/>
    <x v="1"/>
    <x v="0"/>
    <n v="1.089"/>
    <x v="1"/>
    <x v="0"/>
    <s v="Advance"/>
    <x v="0"/>
    <x v="0"/>
    <n v="0"/>
    <n v="2"/>
    <x v="0"/>
    <d v="1899-12-30T07:00:00"/>
    <x v="0"/>
    <n v="266"/>
  </r>
  <r>
    <x v="5"/>
    <n v="123826308"/>
    <x v="14"/>
    <x v="4"/>
    <x v="1"/>
    <s v="ABC234"/>
    <s v="Dr. Thomas Muller"/>
    <x v="1"/>
    <x v="1"/>
    <n v="1.052"/>
    <x v="1"/>
    <x v="0"/>
    <s v="Premium"/>
    <x v="0"/>
    <x v="1"/>
    <n v="4"/>
    <n v="2"/>
    <x v="1"/>
    <d v="1899-12-30T20:02:00"/>
    <x v="1"/>
    <n v="76346"/>
  </r>
  <r>
    <x v="5"/>
    <n v="123892886"/>
    <x v="18"/>
    <x v="10"/>
    <x v="1"/>
    <s v="QWE234"/>
    <s v="Dr. Aisha Rahman"/>
    <x v="1"/>
    <x v="0"/>
    <n v="1.1319999999999999"/>
    <x v="8"/>
    <x v="1"/>
    <s v="NC-Blue"/>
    <x v="0"/>
    <x v="1"/>
    <n v="4"/>
    <n v="1"/>
    <x v="0"/>
    <d v="1899-12-30T16:26:00"/>
    <x v="1"/>
    <n v="38591"/>
  </r>
  <r>
    <x v="9"/>
    <n v="123730461"/>
    <x v="19"/>
    <x v="11"/>
    <x v="0"/>
    <s v="VBN123"/>
    <s v="Dr. Peter Novak"/>
    <x v="0"/>
    <x v="1"/>
    <n v="1.244"/>
    <x v="4"/>
    <x v="0"/>
    <s v="Premium"/>
    <x v="0"/>
    <x v="1"/>
    <n v="3"/>
    <n v="2"/>
    <x v="1"/>
    <d v="1899-12-30T13:42:00"/>
    <x v="1"/>
    <n v="88955"/>
  </r>
  <r>
    <x v="0"/>
    <n v="123932001"/>
    <x v="16"/>
    <x v="11"/>
    <x v="1"/>
    <s v="ABC234"/>
    <s v="Dr. Thomas Muller"/>
    <x v="1"/>
    <x v="1"/>
    <n v="1.1120000000000001"/>
    <x v="1"/>
    <x v="1"/>
    <s v="NC-Gold"/>
    <x v="0"/>
    <x v="2"/>
    <n v="1"/>
    <n v="2"/>
    <x v="1"/>
    <d v="1899-12-30T12:21:00"/>
    <x v="1"/>
    <n v="6029"/>
  </r>
  <r>
    <x v="2"/>
    <n v="123887201"/>
    <x v="4"/>
    <x v="1"/>
    <x v="0"/>
    <s v="FGH234"/>
    <s v="Dr. Hana Suzuki"/>
    <x v="0"/>
    <x v="1"/>
    <n v="1.127"/>
    <x v="5"/>
    <x v="2"/>
    <s v="GH-2"/>
    <x v="0"/>
    <x v="1"/>
    <n v="4"/>
    <n v="2"/>
    <x v="1"/>
    <d v="1899-12-30T07:29:00"/>
    <x v="0"/>
    <n v="105209"/>
  </r>
  <r>
    <x v="4"/>
    <n v="123747862"/>
    <x v="17"/>
    <x v="10"/>
    <x v="0"/>
    <s v="QWE234"/>
    <s v="Dr. Aisha Rahman"/>
    <x v="1"/>
    <x v="1"/>
    <n v="0.98099999999999998"/>
    <x v="8"/>
    <x v="3"/>
    <s v="TH-Standard"/>
    <x v="0"/>
    <x v="1"/>
    <n v="2"/>
    <n v="2"/>
    <x v="0"/>
    <d v="1899-12-30T17:38:00"/>
    <x v="1"/>
    <n v="96767"/>
  </r>
  <r>
    <x v="7"/>
    <n v="123724236"/>
    <x v="2"/>
    <x v="6"/>
    <x v="0"/>
    <s v="VBN123"/>
    <s v="Dr. Peter Novak"/>
    <x v="0"/>
    <x v="1"/>
    <n v="0.93600000000000005"/>
    <x v="4"/>
    <x v="0"/>
    <s v="Advance"/>
    <x v="0"/>
    <x v="2"/>
    <n v="1"/>
    <n v="2"/>
    <x v="0"/>
    <d v="1899-12-30T20:59:00"/>
    <x v="1"/>
    <n v="6381"/>
  </r>
  <r>
    <x v="10"/>
    <n v="123584788"/>
    <x v="12"/>
    <x v="10"/>
    <x v="1"/>
    <s v="FGH234"/>
    <s v="Dr. Hana Suzuki"/>
    <x v="0"/>
    <x v="1"/>
    <n v="1.151"/>
    <x v="5"/>
    <x v="0"/>
    <s v="Advance"/>
    <x v="0"/>
    <x v="1"/>
    <n v="5"/>
    <n v="1"/>
    <x v="1"/>
    <d v="1899-12-30T21:18:00"/>
    <x v="1"/>
    <n v="61857"/>
  </r>
  <r>
    <x v="9"/>
    <n v="123805555"/>
    <x v="20"/>
    <x v="4"/>
    <x v="1"/>
    <s v="VBN123"/>
    <s v="Dr. Peter Novak"/>
    <x v="0"/>
    <x v="1"/>
    <n v="1.0069999999999999"/>
    <x v="4"/>
    <x v="0"/>
    <s v="Premium"/>
    <x v="0"/>
    <x v="1"/>
    <n v="3"/>
    <n v="1"/>
    <x v="1"/>
    <d v="1899-12-30T20:11:00"/>
    <x v="1"/>
    <n v="31904"/>
  </r>
  <r>
    <x v="10"/>
    <n v="123959643"/>
    <x v="21"/>
    <x v="10"/>
    <x v="0"/>
    <s v="VBN123"/>
    <s v="Dr. Peter Novak"/>
    <x v="0"/>
    <x v="1"/>
    <n v="1.095"/>
    <x v="4"/>
    <x v="0"/>
    <s v="Advance"/>
    <x v="0"/>
    <x v="1"/>
    <n v="6"/>
    <n v="2"/>
    <x v="1"/>
    <d v="1899-12-30T17:15:00"/>
    <x v="1"/>
    <n v="96857"/>
  </r>
  <r>
    <x v="3"/>
    <n v="123740921"/>
    <x v="9"/>
    <x v="2"/>
    <x v="0"/>
    <s v="HJK123"/>
    <s v="Dr. Priya Iyer"/>
    <x v="1"/>
    <x v="1"/>
    <n v="1.1080000000000001"/>
    <x v="6"/>
    <x v="0"/>
    <s v="Premium"/>
    <x v="0"/>
    <x v="0"/>
    <n v="0"/>
    <n v="2"/>
    <x v="0"/>
    <d v="1899-12-30T10:13:00"/>
    <x v="0"/>
    <n v="1154"/>
  </r>
  <r>
    <x v="1"/>
    <n v="123909400"/>
    <x v="22"/>
    <x v="4"/>
    <x v="1"/>
    <s v="HJK123"/>
    <s v="Dr. Priya Iyer"/>
    <x v="1"/>
    <x v="1"/>
    <n v="0.99199999999999999"/>
    <x v="6"/>
    <x v="0"/>
    <s v="Basic"/>
    <x v="0"/>
    <x v="1"/>
    <n v="5"/>
    <n v="1"/>
    <x v="1"/>
    <d v="1899-12-30T13:02:00"/>
    <x v="1"/>
    <n v="69475"/>
  </r>
  <r>
    <x v="5"/>
    <n v="123484267"/>
    <x v="14"/>
    <x v="2"/>
    <x v="1"/>
    <s v="DEF232"/>
    <s v="Dr. Lily James"/>
    <x v="1"/>
    <x v="1"/>
    <n v="1.1839999999999999"/>
    <x v="7"/>
    <x v="3"/>
    <s v="TH-Plus"/>
    <x v="0"/>
    <x v="1"/>
    <n v="5"/>
    <n v="1"/>
    <x v="1"/>
    <d v="1899-12-30T16:03:00"/>
    <x v="1"/>
    <n v="70638"/>
  </r>
  <r>
    <x v="11"/>
    <n v="123675826"/>
    <x v="2"/>
    <x v="3"/>
    <x v="0"/>
    <s v="ABC123"/>
    <s v="Dr. Shawn Martin"/>
    <x v="0"/>
    <x v="1"/>
    <n v="0.94599999999999995"/>
    <x v="0"/>
    <x v="3"/>
    <s v="TH-Standard"/>
    <x v="0"/>
    <x v="2"/>
    <n v="1"/>
    <n v="1"/>
    <x v="0"/>
    <d v="1899-12-30T10:26:00"/>
    <x v="0"/>
    <n v="7562"/>
  </r>
  <r>
    <x v="0"/>
    <n v="123831023"/>
    <x v="23"/>
    <x v="4"/>
    <x v="1"/>
    <s v="ABC234"/>
    <s v="Dr. Thomas Muller"/>
    <x v="1"/>
    <x v="1"/>
    <n v="0.94799999999999995"/>
    <x v="1"/>
    <x v="0"/>
    <s v="Premium"/>
    <x v="0"/>
    <x v="0"/>
    <n v="0"/>
    <n v="1"/>
    <x v="1"/>
    <d v="1899-12-30T13:35:00"/>
    <x v="1"/>
    <n v="1046"/>
  </r>
  <r>
    <x v="5"/>
    <n v="123911398"/>
    <x v="5"/>
    <x v="3"/>
    <x v="1"/>
    <s v="FGH234"/>
    <s v="Dr. Hana Suzuki"/>
    <x v="0"/>
    <x v="1"/>
    <n v="1.0820000000000001"/>
    <x v="5"/>
    <x v="3"/>
    <s v="TH-Standard"/>
    <x v="0"/>
    <x v="1"/>
    <n v="6"/>
    <n v="2"/>
    <x v="1"/>
    <d v="1899-12-30T11:08:00"/>
    <x v="0"/>
    <n v="9763"/>
  </r>
  <r>
    <x v="8"/>
    <n v="123586493"/>
    <x v="1"/>
    <x v="12"/>
    <x v="0"/>
    <s v="VBN123"/>
    <s v="Dr. Peter Novak"/>
    <x v="0"/>
    <x v="0"/>
    <n v="0.98699999999999999"/>
    <x v="4"/>
    <x v="0"/>
    <s v="Premium"/>
    <x v="0"/>
    <x v="1"/>
    <n v="4"/>
    <n v="1"/>
    <x v="0"/>
    <d v="1899-12-30T07:01:00"/>
    <x v="0"/>
    <n v="43028"/>
  </r>
  <r>
    <x v="7"/>
    <n v="123988885"/>
    <x v="24"/>
    <x v="4"/>
    <x v="1"/>
    <s v="ABC123"/>
    <s v="Dr. Shawn Martin"/>
    <x v="0"/>
    <x v="0"/>
    <n v="1.111"/>
    <x v="0"/>
    <x v="0"/>
    <s v="Advance"/>
    <x v="0"/>
    <x v="0"/>
    <n v="0"/>
    <n v="3"/>
    <x v="1"/>
    <d v="1899-12-30T18:07:00"/>
    <x v="1"/>
    <n v="731"/>
  </r>
  <r>
    <x v="2"/>
    <n v="123880035"/>
    <x v="0"/>
    <x v="6"/>
    <x v="1"/>
    <s v="FGH234"/>
    <s v="Dr. Hana Suzuki"/>
    <x v="0"/>
    <x v="1"/>
    <n v="1.0900000000000001"/>
    <x v="5"/>
    <x v="0"/>
    <s v="Basic"/>
    <x v="0"/>
    <x v="1"/>
    <n v="4"/>
    <n v="1"/>
    <x v="0"/>
    <d v="1899-12-30T08:21:00"/>
    <x v="0"/>
    <n v="16447"/>
  </r>
  <r>
    <x v="0"/>
    <n v="123805510"/>
    <x v="25"/>
    <x v="4"/>
    <x v="1"/>
    <s v="FGH123"/>
    <s v="Dr. Sofia Kim"/>
    <x v="2"/>
    <x v="1"/>
    <n v="0.88900000000000001"/>
    <x v="9"/>
    <x v="1"/>
    <s v="NC-Blue"/>
    <x v="0"/>
    <x v="0"/>
    <n v="0"/>
    <n v="1"/>
    <x v="0"/>
    <d v="1899-12-30T07:38:00"/>
    <x v="0"/>
    <n v="795"/>
  </r>
  <r>
    <x v="5"/>
    <n v="123905373"/>
    <x v="0"/>
    <x v="13"/>
    <x v="1"/>
    <s v="ABC123"/>
    <s v="Dr. Shawn Martin"/>
    <x v="0"/>
    <x v="1"/>
    <n v="1.022"/>
    <x v="0"/>
    <x v="2"/>
    <s v="GH-1"/>
    <x v="0"/>
    <x v="2"/>
    <n v="1"/>
    <n v="1"/>
    <x v="1"/>
    <d v="1899-12-30T07:58:00"/>
    <x v="0"/>
    <n v="6359"/>
  </r>
  <r>
    <x v="11"/>
    <n v="123735736"/>
    <x v="26"/>
    <x v="10"/>
    <x v="1"/>
    <s v="DEF232"/>
    <s v="Dr. Lily James"/>
    <x v="1"/>
    <x v="1"/>
    <n v="1.1579999999999999"/>
    <x v="7"/>
    <x v="0"/>
    <s v="Basic"/>
    <x v="0"/>
    <x v="0"/>
    <n v="0"/>
    <n v="3"/>
    <x v="1"/>
    <d v="1899-12-30T19:19:00"/>
    <x v="1"/>
    <n v="238"/>
  </r>
  <r>
    <x v="5"/>
    <n v="123707762"/>
    <x v="14"/>
    <x v="9"/>
    <x v="0"/>
    <s v="HJK123"/>
    <s v="Dr. Priya Iyer"/>
    <x v="1"/>
    <x v="1"/>
    <n v="0.97599999999999998"/>
    <x v="6"/>
    <x v="2"/>
    <s v="GH-1"/>
    <x v="0"/>
    <x v="0"/>
    <n v="0"/>
    <n v="2"/>
    <x v="1"/>
    <d v="1899-12-30T06:13:00"/>
    <x v="0"/>
    <n v="1263"/>
  </r>
  <r>
    <x v="6"/>
    <n v="123882570"/>
    <x v="27"/>
    <x v="2"/>
    <x v="0"/>
    <s v="QWE123"/>
    <s v="Dr. Omar Khalid"/>
    <x v="2"/>
    <x v="1"/>
    <n v="1.0509999999999999"/>
    <x v="3"/>
    <x v="2"/>
    <s v="GH-2"/>
    <x v="0"/>
    <x v="1"/>
    <n v="4"/>
    <n v="2"/>
    <x v="0"/>
    <d v="1899-12-30T19:49:00"/>
    <x v="1"/>
    <n v="24119"/>
  </r>
  <r>
    <x v="1"/>
    <n v="123665488"/>
    <x v="27"/>
    <x v="13"/>
    <x v="1"/>
    <s v="VBN123"/>
    <s v="Dr. Peter Novak"/>
    <x v="0"/>
    <x v="1"/>
    <n v="1.091"/>
    <x v="4"/>
    <x v="0"/>
    <s v="Advance"/>
    <x v="0"/>
    <x v="1"/>
    <n v="3"/>
    <n v="3"/>
    <x v="0"/>
    <d v="1899-12-30T15:37:00"/>
    <x v="1"/>
    <n v="72650"/>
  </r>
  <r>
    <x v="6"/>
    <n v="123829273"/>
    <x v="19"/>
    <x v="1"/>
    <x v="0"/>
    <s v="ABC234"/>
    <s v="Dr. Thomas Muller"/>
    <x v="1"/>
    <x v="1"/>
    <n v="0.98299999999999998"/>
    <x v="1"/>
    <x v="3"/>
    <s v="TH-Standard"/>
    <x v="0"/>
    <x v="1"/>
    <n v="5"/>
    <n v="2"/>
    <x v="1"/>
    <d v="1899-12-30T08:06:00"/>
    <x v="0"/>
    <n v="95260"/>
  </r>
  <r>
    <x v="6"/>
    <n v="123803921"/>
    <x v="24"/>
    <x v="10"/>
    <x v="1"/>
    <s v="QWE123"/>
    <s v="Dr. Omar Khalid"/>
    <x v="2"/>
    <x v="1"/>
    <n v="1.0660000000000001"/>
    <x v="3"/>
    <x v="0"/>
    <s v="Premium"/>
    <x v="0"/>
    <x v="1"/>
    <n v="4"/>
    <n v="2"/>
    <x v="1"/>
    <d v="1899-12-30T21:09:00"/>
    <x v="1"/>
    <n v="46494"/>
  </r>
  <r>
    <x v="0"/>
    <n v="123532033"/>
    <x v="28"/>
    <x v="4"/>
    <x v="1"/>
    <s v="ABC456"/>
    <s v="Dr. Ahmed Zayed"/>
    <x v="1"/>
    <x v="1"/>
    <n v="0.94199999999999995"/>
    <x v="2"/>
    <x v="0"/>
    <s v="Premium"/>
    <x v="0"/>
    <x v="2"/>
    <n v="1"/>
    <n v="2"/>
    <x v="0"/>
    <d v="1899-12-30T12:33:00"/>
    <x v="1"/>
    <n v="3121"/>
  </r>
  <r>
    <x v="1"/>
    <n v="123691888"/>
    <x v="16"/>
    <x v="4"/>
    <x v="1"/>
    <s v="HJK123"/>
    <s v="Dr. Priya Iyer"/>
    <x v="1"/>
    <x v="1"/>
    <n v="1.097"/>
    <x v="6"/>
    <x v="2"/>
    <s v="GH-1"/>
    <x v="0"/>
    <x v="1"/>
    <n v="5"/>
    <n v="2"/>
    <x v="0"/>
    <d v="1899-12-30T11:45:00"/>
    <x v="0"/>
    <n v="8301"/>
  </r>
  <r>
    <x v="2"/>
    <n v="123715964"/>
    <x v="29"/>
    <x v="1"/>
    <x v="1"/>
    <s v="FGH123"/>
    <s v="Dr. Sofia Kim"/>
    <x v="2"/>
    <x v="1"/>
    <n v="1.0920000000000001"/>
    <x v="9"/>
    <x v="0"/>
    <s v="Advance"/>
    <x v="0"/>
    <x v="0"/>
    <n v="0"/>
    <n v="3"/>
    <x v="1"/>
    <d v="1899-12-30T09:10:00"/>
    <x v="0"/>
    <n v="1482"/>
  </r>
  <r>
    <x v="1"/>
    <n v="123682787"/>
    <x v="11"/>
    <x v="2"/>
    <x v="1"/>
    <s v="ABC456"/>
    <s v="Dr. Ahmed Zayed"/>
    <x v="1"/>
    <x v="1"/>
    <n v="1.002"/>
    <x v="2"/>
    <x v="3"/>
    <s v="TH-Standard"/>
    <x v="0"/>
    <x v="1"/>
    <n v="4"/>
    <n v="2"/>
    <x v="0"/>
    <d v="1899-12-30T14:26:00"/>
    <x v="1"/>
    <n v="36156"/>
  </r>
  <r>
    <x v="8"/>
    <n v="123784671"/>
    <x v="16"/>
    <x v="4"/>
    <x v="1"/>
    <s v="QWE234"/>
    <s v="Dr. Aisha Rahman"/>
    <x v="1"/>
    <x v="1"/>
    <n v="1.1180000000000001"/>
    <x v="8"/>
    <x v="2"/>
    <s v="GH-1"/>
    <x v="0"/>
    <x v="1"/>
    <n v="5"/>
    <n v="1"/>
    <x v="0"/>
    <d v="1899-12-30T17:28:00"/>
    <x v="1"/>
    <n v="74696"/>
  </r>
  <r>
    <x v="9"/>
    <n v="123640000"/>
    <x v="20"/>
    <x v="4"/>
    <x v="1"/>
    <s v="QWE234"/>
    <s v="Dr. Aisha Rahman"/>
    <x v="1"/>
    <x v="1"/>
    <n v="1.0609999999999999"/>
    <x v="8"/>
    <x v="0"/>
    <s v="Advance"/>
    <x v="0"/>
    <x v="1"/>
    <n v="3"/>
    <n v="2"/>
    <x v="0"/>
    <d v="1899-12-30T17:07:00"/>
    <x v="1"/>
    <n v="57511"/>
  </r>
  <r>
    <x v="6"/>
    <n v="123634157"/>
    <x v="30"/>
    <x v="3"/>
    <x v="0"/>
    <s v="QWE123"/>
    <s v="Dr. Omar Khalid"/>
    <x v="2"/>
    <x v="0"/>
    <n v="1.123"/>
    <x v="3"/>
    <x v="0"/>
    <s v="Basic"/>
    <x v="0"/>
    <x v="2"/>
    <n v="1"/>
    <n v="1"/>
    <x v="0"/>
    <d v="1899-12-30T07:09:00"/>
    <x v="0"/>
    <n v="1486"/>
  </r>
  <r>
    <x v="11"/>
    <n v="123584082"/>
    <x v="13"/>
    <x v="4"/>
    <x v="1"/>
    <s v="FGH234"/>
    <s v="Dr. Hana Suzuki"/>
    <x v="0"/>
    <x v="0"/>
    <n v="0.92200000000000004"/>
    <x v="5"/>
    <x v="2"/>
    <s v="GH-1"/>
    <x v="0"/>
    <x v="1"/>
    <n v="3"/>
    <n v="1"/>
    <x v="0"/>
    <d v="1899-12-30T13:38:00"/>
    <x v="1"/>
    <n v="22764"/>
  </r>
  <r>
    <x v="7"/>
    <n v="123887256"/>
    <x v="13"/>
    <x v="8"/>
    <x v="1"/>
    <s v="HJK123"/>
    <s v="Dr. Priya Iyer"/>
    <x v="1"/>
    <x v="1"/>
    <n v="1.099"/>
    <x v="6"/>
    <x v="3"/>
    <s v="TH-Standard"/>
    <x v="0"/>
    <x v="1"/>
    <n v="3"/>
    <n v="2"/>
    <x v="0"/>
    <d v="1899-12-30T16:21:00"/>
    <x v="1"/>
    <n v="53926"/>
  </r>
  <r>
    <x v="4"/>
    <n v="123820938"/>
    <x v="8"/>
    <x v="0"/>
    <x v="0"/>
    <s v="VBN123"/>
    <s v="Dr. Peter Novak"/>
    <x v="0"/>
    <x v="1"/>
    <n v="0.89800000000000002"/>
    <x v="4"/>
    <x v="0"/>
    <s v="Premium"/>
    <x v="0"/>
    <x v="0"/>
    <n v="0"/>
    <n v="3"/>
    <x v="1"/>
    <d v="1899-12-30T19:04:00"/>
    <x v="1"/>
    <n v="2806"/>
  </r>
  <r>
    <x v="10"/>
    <n v="123920678"/>
    <x v="31"/>
    <x v="8"/>
    <x v="1"/>
    <s v="QWE234"/>
    <s v="Dr. Aisha Rahman"/>
    <x v="1"/>
    <x v="0"/>
    <n v="0.97199999999999998"/>
    <x v="8"/>
    <x v="3"/>
    <s v="TH-Standard"/>
    <x v="0"/>
    <x v="1"/>
    <n v="3"/>
    <n v="2"/>
    <x v="1"/>
    <d v="1899-12-30T10:16:00"/>
    <x v="0"/>
    <n v="56370"/>
  </r>
  <r>
    <x v="8"/>
    <n v="123634628"/>
    <x v="9"/>
    <x v="10"/>
    <x v="1"/>
    <s v="ABC456"/>
    <s v="Dr. Ahmed Zayed"/>
    <x v="1"/>
    <x v="1"/>
    <n v="0.91900000000000004"/>
    <x v="2"/>
    <x v="3"/>
    <s v="TH-Plus"/>
    <x v="0"/>
    <x v="1"/>
    <n v="4"/>
    <n v="1"/>
    <x v="0"/>
    <d v="1899-12-30T09:59:00"/>
    <x v="0"/>
    <n v="8089"/>
  </r>
  <r>
    <x v="3"/>
    <n v="123747275"/>
    <x v="29"/>
    <x v="10"/>
    <x v="0"/>
    <s v="HJK123"/>
    <s v="Dr. Priya Iyer"/>
    <x v="1"/>
    <x v="1"/>
    <n v="0.77100000000000002"/>
    <x v="6"/>
    <x v="2"/>
    <s v="GH-1"/>
    <x v="0"/>
    <x v="0"/>
    <n v="0"/>
    <n v="1"/>
    <x v="0"/>
    <d v="1899-12-30T18:56:00"/>
    <x v="1"/>
    <n v="1380"/>
  </r>
  <r>
    <x v="9"/>
    <n v="123917616"/>
    <x v="32"/>
    <x v="1"/>
    <x v="0"/>
    <s v="HJK123"/>
    <s v="Dr. Priya Iyer"/>
    <x v="1"/>
    <x v="1"/>
    <n v="1.222"/>
    <x v="6"/>
    <x v="1"/>
    <s v="NC-Blue"/>
    <x v="0"/>
    <x v="1"/>
    <n v="5"/>
    <n v="2"/>
    <x v="1"/>
    <d v="1899-12-30T08:23:00"/>
    <x v="0"/>
    <n v="112249"/>
  </r>
  <r>
    <x v="10"/>
    <n v="123811006"/>
    <x v="20"/>
    <x v="1"/>
    <x v="1"/>
    <s v="FGH234"/>
    <s v="Dr. Hana Suzuki"/>
    <x v="0"/>
    <x v="1"/>
    <n v="1.103"/>
    <x v="5"/>
    <x v="2"/>
    <s v="GH-2"/>
    <x v="0"/>
    <x v="0"/>
    <n v="0"/>
    <n v="1"/>
    <x v="1"/>
    <d v="1899-12-30T21:47:00"/>
    <x v="1"/>
    <n v="1945"/>
  </r>
  <r>
    <x v="11"/>
    <n v="123745800"/>
    <x v="21"/>
    <x v="0"/>
    <x v="1"/>
    <s v="ABC456"/>
    <s v="Dr. Ahmed Zayed"/>
    <x v="1"/>
    <x v="1"/>
    <n v="1.1659999999999999"/>
    <x v="2"/>
    <x v="0"/>
    <s v="Basic"/>
    <x v="0"/>
    <x v="0"/>
    <n v="0"/>
    <n v="1"/>
    <x v="0"/>
    <d v="1899-12-30T16:34:00"/>
    <x v="1"/>
    <n v="851"/>
  </r>
  <r>
    <x v="0"/>
    <n v="123872857"/>
    <x v="9"/>
    <x v="1"/>
    <x v="1"/>
    <s v="FGH234"/>
    <s v="Dr. Hana Suzuki"/>
    <x v="0"/>
    <x v="1"/>
    <n v="0.98099999999999998"/>
    <x v="5"/>
    <x v="1"/>
    <s v="NC-Blue"/>
    <x v="0"/>
    <x v="0"/>
    <n v="0"/>
    <n v="2"/>
    <x v="0"/>
    <d v="1899-12-30T11:55:00"/>
    <x v="0"/>
    <n v="1042"/>
  </r>
  <r>
    <x v="4"/>
    <n v="123552134"/>
    <x v="33"/>
    <x v="5"/>
    <x v="1"/>
    <s v="HJK123"/>
    <s v="Dr. Priya Iyer"/>
    <x v="1"/>
    <x v="0"/>
    <n v="0.89300000000000002"/>
    <x v="6"/>
    <x v="3"/>
    <s v="TH-Plus"/>
    <x v="0"/>
    <x v="0"/>
    <n v="0"/>
    <n v="1"/>
    <x v="0"/>
    <d v="1899-12-30T12:59:00"/>
    <x v="1"/>
    <n v="152"/>
  </r>
  <r>
    <x v="11"/>
    <n v="123855781"/>
    <x v="25"/>
    <x v="4"/>
    <x v="0"/>
    <s v="FGH234"/>
    <s v="Dr. Hana Suzuki"/>
    <x v="0"/>
    <x v="0"/>
    <n v="0.89300000000000002"/>
    <x v="5"/>
    <x v="2"/>
    <s v="GH-1"/>
    <x v="0"/>
    <x v="2"/>
    <n v="1"/>
    <n v="1"/>
    <x v="0"/>
    <d v="1899-12-30T17:57:00"/>
    <x v="1"/>
    <n v="2429"/>
  </r>
  <r>
    <x v="7"/>
    <n v="123475120"/>
    <x v="3"/>
    <x v="4"/>
    <x v="0"/>
    <s v="FGH234"/>
    <s v="Dr. Hana Suzuki"/>
    <x v="0"/>
    <x v="1"/>
    <n v="1.1120000000000001"/>
    <x v="5"/>
    <x v="1"/>
    <s v="NC-Blue"/>
    <x v="0"/>
    <x v="1"/>
    <n v="5"/>
    <n v="2"/>
    <x v="1"/>
    <d v="1899-12-30T09:47:00"/>
    <x v="0"/>
    <n v="38821"/>
  </r>
  <r>
    <x v="7"/>
    <n v="123566107"/>
    <x v="15"/>
    <x v="5"/>
    <x v="1"/>
    <s v="ABC234"/>
    <s v="Dr. Thomas Muller"/>
    <x v="1"/>
    <x v="1"/>
    <n v="1.1539999999999999"/>
    <x v="1"/>
    <x v="0"/>
    <s v="Advance"/>
    <x v="0"/>
    <x v="1"/>
    <n v="4"/>
    <n v="3"/>
    <x v="1"/>
    <d v="1899-12-30T08:19:00"/>
    <x v="0"/>
    <n v="122019"/>
  </r>
  <r>
    <x v="10"/>
    <n v="123729797"/>
    <x v="20"/>
    <x v="0"/>
    <x v="0"/>
    <s v="ABC456"/>
    <s v="Dr. Ahmed Zayed"/>
    <x v="1"/>
    <x v="1"/>
    <n v="1.093"/>
    <x v="2"/>
    <x v="2"/>
    <s v="GH-1"/>
    <x v="0"/>
    <x v="0"/>
    <n v="0"/>
    <n v="2"/>
    <x v="1"/>
    <d v="1899-12-30T15:09:00"/>
    <x v="1"/>
    <n v="1722"/>
  </r>
  <r>
    <x v="7"/>
    <n v="123955902"/>
    <x v="34"/>
    <x v="4"/>
    <x v="1"/>
    <s v="QWE234"/>
    <s v="Dr. Aisha Rahman"/>
    <x v="1"/>
    <x v="1"/>
    <n v="1"/>
    <x v="8"/>
    <x v="1"/>
    <s v="NC-Blue"/>
    <x v="0"/>
    <x v="0"/>
    <n v="0"/>
    <n v="2"/>
    <x v="0"/>
    <d v="1899-12-30T16:39:00"/>
    <x v="1"/>
    <n v="142"/>
  </r>
  <r>
    <x v="9"/>
    <n v="123527863"/>
    <x v="30"/>
    <x v="6"/>
    <x v="0"/>
    <s v="FGH234"/>
    <s v="Dr. Hana Suzuki"/>
    <x v="0"/>
    <x v="1"/>
    <n v="1.0109999999999999"/>
    <x v="5"/>
    <x v="3"/>
    <s v="TH-Standard"/>
    <x v="0"/>
    <x v="0"/>
    <n v="0"/>
    <n v="2"/>
    <x v="0"/>
    <d v="1899-12-30T12:44:00"/>
    <x v="1"/>
    <n v="1127"/>
  </r>
  <r>
    <x v="0"/>
    <n v="123790221"/>
    <x v="16"/>
    <x v="4"/>
    <x v="0"/>
    <s v="FGH234"/>
    <s v="Dr. Hana Suzuki"/>
    <x v="0"/>
    <x v="1"/>
    <n v="1.131"/>
    <x v="5"/>
    <x v="0"/>
    <s v="Basic"/>
    <x v="0"/>
    <x v="1"/>
    <n v="4"/>
    <n v="2"/>
    <x v="1"/>
    <d v="1899-12-30T17:50:00"/>
    <x v="1"/>
    <n v="160962"/>
  </r>
  <r>
    <x v="2"/>
    <n v="123794297"/>
    <x v="25"/>
    <x v="4"/>
    <x v="0"/>
    <s v="QWE234"/>
    <s v="Dr. Aisha Rahman"/>
    <x v="1"/>
    <x v="1"/>
    <n v="1.0669999999999999"/>
    <x v="8"/>
    <x v="0"/>
    <s v="Advance"/>
    <x v="0"/>
    <x v="1"/>
    <n v="5"/>
    <n v="1"/>
    <x v="0"/>
    <d v="1899-12-30T07:08:00"/>
    <x v="0"/>
    <n v="28855"/>
  </r>
  <r>
    <x v="0"/>
    <n v="123501964"/>
    <x v="21"/>
    <x v="8"/>
    <x v="1"/>
    <s v="HJK123"/>
    <s v="Dr. Priya Iyer"/>
    <x v="1"/>
    <x v="1"/>
    <n v="1.0069999999999999"/>
    <x v="6"/>
    <x v="3"/>
    <s v="TH-Plus"/>
    <x v="0"/>
    <x v="0"/>
    <n v="0"/>
    <n v="2"/>
    <x v="0"/>
    <d v="1899-12-30T17:59:00"/>
    <x v="1"/>
    <n v="143"/>
  </r>
  <r>
    <x v="6"/>
    <n v="123965150"/>
    <x v="9"/>
    <x v="10"/>
    <x v="1"/>
    <s v="FGH234"/>
    <s v="Dr. Hana Suzuki"/>
    <x v="0"/>
    <x v="1"/>
    <n v="0.94"/>
    <x v="5"/>
    <x v="0"/>
    <s v="Basic"/>
    <x v="0"/>
    <x v="0"/>
    <n v="0"/>
    <n v="2"/>
    <x v="0"/>
    <d v="1899-12-30T07:16:00"/>
    <x v="0"/>
    <n v="1458"/>
  </r>
  <r>
    <x v="4"/>
    <n v="123849537"/>
    <x v="19"/>
    <x v="8"/>
    <x v="0"/>
    <s v="HJK123"/>
    <s v="Dr. Priya Iyer"/>
    <x v="1"/>
    <x v="0"/>
    <n v="0.98799999999999999"/>
    <x v="6"/>
    <x v="3"/>
    <s v="TH-Standard"/>
    <x v="0"/>
    <x v="1"/>
    <n v="3"/>
    <n v="1"/>
    <x v="0"/>
    <d v="1899-12-30T20:10:00"/>
    <x v="1"/>
    <n v="27298"/>
  </r>
  <r>
    <x v="1"/>
    <n v="123978205"/>
    <x v="23"/>
    <x v="8"/>
    <x v="0"/>
    <s v="DEF232"/>
    <s v="Dr. Lily James"/>
    <x v="1"/>
    <x v="1"/>
    <n v="1.022"/>
    <x v="7"/>
    <x v="0"/>
    <s v="Advance"/>
    <x v="0"/>
    <x v="0"/>
    <n v="0"/>
    <n v="2"/>
    <x v="1"/>
    <d v="1899-12-30T20:45:00"/>
    <x v="1"/>
    <n v="1203"/>
  </r>
  <r>
    <x v="1"/>
    <n v="123548150"/>
    <x v="35"/>
    <x v="6"/>
    <x v="1"/>
    <s v="ABC234"/>
    <s v="Dr. Thomas Muller"/>
    <x v="1"/>
    <x v="1"/>
    <n v="0.88100000000000001"/>
    <x v="1"/>
    <x v="2"/>
    <s v="GH-1"/>
    <x v="0"/>
    <x v="0"/>
    <n v="0"/>
    <n v="2"/>
    <x v="0"/>
    <d v="1899-12-30T11:35:00"/>
    <x v="0"/>
    <n v="970"/>
  </r>
  <r>
    <x v="0"/>
    <n v="123677253"/>
    <x v="10"/>
    <x v="8"/>
    <x v="1"/>
    <s v="DEF232"/>
    <s v="Dr. Lily James"/>
    <x v="1"/>
    <x v="1"/>
    <n v="0.97699999999999998"/>
    <x v="7"/>
    <x v="0"/>
    <s v="Advance"/>
    <x v="0"/>
    <x v="0"/>
    <n v="0"/>
    <n v="2"/>
    <x v="0"/>
    <d v="1899-12-30T06:44:00"/>
    <x v="0"/>
    <n v="205"/>
  </r>
  <r>
    <x v="7"/>
    <n v="123778962"/>
    <x v="25"/>
    <x v="12"/>
    <x v="1"/>
    <s v="VBN123"/>
    <s v="Dr. Peter Novak"/>
    <x v="0"/>
    <x v="0"/>
    <n v="0.85299999999999998"/>
    <x v="4"/>
    <x v="0"/>
    <s v="Premium"/>
    <x v="0"/>
    <x v="2"/>
    <n v="1"/>
    <n v="2"/>
    <x v="0"/>
    <d v="1899-12-30T16:27:00"/>
    <x v="1"/>
    <n v="4916"/>
  </r>
  <r>
    <x v="3"/>
    <n v="123698180"/>
    <x v="21"/>
    <x v="4"/>
    <x v="1"/>
    <s v="ABC234"/>
    <s v="Dr. Thomas Muller"/>
    <x v="1"/>
    <x v="1"/>
    <n v="0.99"/>
    <x v="1"/>
    <x v="0"/>
    <s v="Premium"/>
    <x v="0"/>
    <x v="1"/>
    <n v="7"/>
    <n v="3"/>
    <x v="0"/>
    <d v="1899-12-30T07:26:00"/>
    <x v="0"/>
    <n v="69189"/>
  </r>
  <r>
    <x v="2"/>
    <n v="123998181"/>
    <x v="6"/>
    <x v="1"/>
    <x v="0"/>
    <s v="FGH123"/>
    <s v="Dr. Sofia Kim"/>
    <x v="2"/>
    <x v="1"/>
    <n v="0.82599999999999996"/>
    <x v="9"/>
    <x v="2"/>
    <s v="GH-2"/>
    <x v="0"/>
    <x v="0"/>
    <n v="0"/>
    <n v="1"/>
    <x v="0"/>
    <d v="1899-12-30T11:37:00"/>
    <x v="0"/>
    <n v="904"/>
  </r>
  <r>
    <x v="11"/>
    <n v="123888541"/>
    <x v="4"/>
    <x v="12"/>
    <x v="0"/>
    <s v="FGH234"/>
    <s v="Dr. Hana Suzuki"/>
    <x v="0"/>
    <x v="1"/>
    <n v="1.1579999999999999"/>
    <x v="5"/>
    <x v="2"/>
    <s v="GH-2"/>
    <x v="0"/>
    <x v="1"/>
    <n v="4"/>
    <n v="2"/>
    <x v="1"/>
    <d v="1899-12-30T17:14:00"/>
    <x v="1"/>
    <n v="62686"/>
  </r>
  <r>
    <x v="4"/>
    <n v="123505017"/>
    <x v="14"/>
    <x v="13"/>
    <x v="0"/>
    <s v="HJK123"/>
    <s v="Dr. Priya Iyer"/>
    <x v="1"/>
    <x v="1"/>
    <n v="1.1160000000000001"/>
    <x v="6"/>
    <x v="0"/>
    <s v="Premium"/>
    <x v="0"/>
    <x v="1"/>
    <n v="5"/>
    <n v="3"/>
    <x v="1"/>
    <d v="1899-12-30T15:42:00"/>
    <x v="1"/>
    <n v="40266"/>
  </r>
  <r>
    <x v="0"/>
    <n v="123593840"/>
    <x v="36"/>
    <x v="8"/>
    <x v="1"/>
    <s v="DEF232"/>
    <s v="Dr. Lily James"/>
    <x v="1"/>
    <x v="1"/>
    <n v="1.0840000000000001"/>
    <x v="7"/>
    <x v="0"/>
    <s v="Basic"/>
    <x v="0"/>
    <x v="0"/>
    <n v="0"/>
    <n v="1"/>
    <x v="1"/>
    <d v="1899-12-30T18:01:00"/>
    <x v="1"/>
    <n v="1015"/>
  </r>
  <r>
    <x v="7"/>
    <n v="123739177"/>
    <x v="37"/>
    <x v="1"/>
    <x v="0"/>
    <s v="VBN123"/>
    <s v="Dr. Peter Novak"/>
    <x v="0"/>
    <x v="1"/>
    <n v="1.18"/>
    <x v="4"/>
    <x v="0"/>
    <s v="Basic"/>
    <x v="0"/>
    <x v="1"/>
    <n v="7"/>
    <n v="2"/>
    <x v="1"/>
    <d v="1899-12-30T08:38:00"/>
    <x v="0"/>
    <n v="61284"/>
  </r>
  <r>
    <x v="2"/>
    <n v="123549182"/>
    <x v="20"/>
    <x v="2"/>
    <x v="0"/>
    <s v="HJK123"/>
    <s v="Dr. Priya Iyer"/>
    <x v="1"/>
    <x v="1"/>
    <n v="1.1850000000000001"/>
    <x v="6"/>
    <x v="3"/>
    <s v="TH-Standard"/>
    <x v="0"/>
    <x v="1"/>
    <n v="5"/>
    <n v="2"/>
    <x v="0"/>
    <d v="1899-12-30T08:52:00"/>
    <x v="0"/>
    <n v="4489"/>
  </r>
  <r>
    <x v="4"/>
    <n v="123767401"/>
    <x v="36"/>
    <x v="5"/>
    <x v="1"/>
    <s v="DEF232"/>
    <s v="Dr. Lily James"/>
    <x v="1"/>
    <x v="1"/>
    <n v="1.0149999999999999"/>
    <x v="7"/>
    <x v="3"/>
    <s v="TH-Plus"/>
    <x v="0"/>
    <x v="1"/>
    <n v="3"/>
    <n v="1"/>
    <x v="0"/>
    <d v="1899-12-30T15:23:00"/>
    <x v="1"/>
    <n v="22502"/>
  </r>
  <r>
    <x v="5"/>
    <n v="123709495"/>
    <x v="2"/>
    <x v="1"/>
    <x v="1"/>
    <s v="VBN123"/>
    <s v="Dr. Peter Novak"/>
    <x v="0"/>
    <x v="1"/>
    <n v="1.117"/>
    <x v="4"/>
    <x v="3"/>
    <s v="TH-Plus"/>
    <x v="0"/>
    <x v="1"/>
    <n v="4"/>
    <n v="1"/>
    <x v="1"/>
    <d v="1899-12-30T12:43:00"/>
    <x v="1"/>
    <n v="96445"/>
  </r>
  <r>
    <x v="10"/>
    <n v="123825525"/>
    <x v="8"/>
    <x v="10"/>
    <x v="0"/>
    <s v="FGH123"/>
    <s v="Dr. Sofia Kim"/>
    <x v="2"/>
    <x v="1"/>
    <n v="1.089"/>
    <x v="9"/>
    <x v="1"/>
    <s v="NC-Gold"/>
    <x v="0"/>
    <x v="1"/>
    <n v="3"/>
    <n v="2"/>
    <x v="1"/>
    <d v="1899-12-30T13:25:00"/>
    <x v="1"/>
    <n v="16038"/>
  </r>
  <r>
    <x v="1"/>
    <n v="123871573"/>
    <x v="2"/>
    <x v="6"/>
    <x v="0"/>
    <s v="ABC123"/>
    <s v="Dr. Shawn Martin"/>
    <x v="0"/>
    <x v="1"/>
    <n v="0.95599999999999996"/>
    <x v="0"/>
    <x v="1"/>
    <s v="NC-Blue"/>
    <x v="0"/>
    <x v="1"/>
    <n v="3"/>
    <n v="1"/>
    <x v="0"/>
    <d v="1899-12-30T14:08:00"/>
    <x v="1"/>
    <n v="40109"/>
  </r>
  <r>
    <x v="2"/>
    <n v="123956543"/>
    <x v="22"/>
    <x v="10"/>
    <x v="1"/>
    <s v="HJK123"/>
    <s v="Dr. Priya Iyer"/>
    <x v="1"/>
    <x v="1"/>
    <n v="1.294"/>
    <x v="6"/>
    <x v="3"/>
    <s v="TH-Standard"/>
    <x v="0"/>
    <x v="1"/>
    <n v="5"/>
    <n v="3"/>
    <x v="0"/>
    <d v="1899-12-30T14:48:00"/>
    <x v="1"/>
    <n v="112061"/>
  </r>
  <r>
    <x v="10"/>
    <n v="123890788"/>
    <x v="38"/>
    <x v="1"/>
    <x v="0"/>
    <s v="DEF232"/>
    <s v="Dr. Lily James"/>
    <x v="1"/>
    <x v="1"/>
    <n v="0.98699999999999999"/>
    <x v="7"/>
    <x v="0"/>
    <s v="Basic"/>
    <x v="0"/>
    <x v="1"/>
    <n v="6"/>
    <n v="2"/>
    <x v="0"/>
    <d v="1899-12-30T11:20:00"/>
    <x v="0"/>
    <n v="74214"/>
  </r>
  <r>
    <x v="9"/>
    <n v="123737631"/>
    <x v="9"/>
    <x v="1"/>
    <x v="1"/>
    <s v="QWE123"/>
    <s v="Dr. Omar Khalid"/>
    <x v="2"/>
    <x v="1"/>
    <n v="1.0960000000000001"/>
    <x v="3"/>
    <x v="0"/>
    <s v="Basic"/>
    <x v="0"/>
    <x v="1"/>
    <n v="3"/>
    <n v="2"/>
    <x v="1"/>
    <d v="1899-12-30T08:33:00"/>
    <x v="0"/>
    <n v="43086"/>
  </r>
  <r>
    <x v="0"/>
    <n v="123723730"/>
    <x v="39"/>
    <x v="10"/>
    <x v="0"/>
    <s v="FGH123"/>
    <s v="Dr. Sofia Kim"/>
    <x v="2"/>
    <x v="1"/>
    <n v="0.92200000000000004"/>
    <x v="9"/>
    <x v="3"/>
    <s v="TH-Plus"/>
    <x v="0"/>
    <x v="1"/>
    <n v="4"/>
    <n v="1"/>
    <x v="0"/>
    <d v="1899-12-30T08:42:00"/>
    <x v="0"/>
    <n v="4470"/>
  </r>
  <r>
    <x v="1"/>
    <n v="123584225"/>
    <x v="10"/>
    <x v="10"/>
    <x v="0"/>
    <s v="ABC123"/>
    <s v="Dr. Shawn Martin"/>
    <x v="0"/>
    <x v="1"/>
    <n v="0.99399999999999999"/>
    <x v="0"/>
    <x v="0"/>
    <s v="Basic"/>
    <x v="0"/>
    <x v="2"/>
    <n v="1"/>
    <n v="1"/>
    <x v="0"/>
    <d v="1899-12-30T10:14:00"/>
    <x v="0"/>
    <n v="3416"/>
  </r>
  <r>
    <x v="8"/>
    <n v="123782178"/>
    <x v="24"/>
    <x v="4"/>
    <x v="0"/>
    <s v="QWE234"/>
    <s v="Dr. Aisha Rahman"/>
    <x v="1"/>
    <x v="1"/>
    <n v="0.996"/>
    <x v="8"/>
    <x v="0"/>
    <s v="Basic"/>
    <x v="0"/>
    <x v="0"/>
    <n v="0"/>
    <n v="2"/>
    <x v="1"/>
    <d v="1899-12-30T10:53:00"/>
    <x v="0"/>
    <n v="733"/>
  </r>
  <r>
    <x v="2"/>
    <n v="123915703"/>
    <x v="19"/>
    <x v="5"/>
    <x v="0"/>
    <s v="FGH234"/>
    <s v="Dr. Hana Suzuki"/>
    <x v="0"/>
    <x v="1"/>
    <n v="0.98"/>
    <x v="5"/>
    <x v="2"/>
    <s v="GH-1"/>
    <x v="0"/>
    <x v="1"/>
    <n v="4"/>
    <n v="2"/>
    <x v="0"/>
    <d v="1899-12-30T14:15:00"/>
    <x v="1"/>
    <n v="89005"/>
  </r>
  <r>
    <x v="3"/>
    <n v="123521134"/>
    <x v="4"/>
    <x v="2"/>
    <x v="1"/>
    <s v="FGH234"/>
    <s v="Dr. Hana Suzuki"/>
    <x v="0"/>
    <x v="1"/>
    <n v="1.079"/>
    <x v="5"/>
    <x v="3"/>
    <s v="TH-Plus"/>
    <x v="0"/>
    <x v="0"/>
    <n v="0"/>
    <n v="2"/>
    <x v="0"/>
    <d v="1899-12-30T20:35:00"/>
    <x v="1"/>
    <n v="957"/>
  </r>
  <r>
    <x v="2"/>
    <n v="123883559"/>
    <x v="40"/>
    <x v="0"/>
    <x v="1"/>
    <s v="DEF232"/>
    <s v="Dr. Lily James"/>
    <x v="1"/>
    <x v="1"/>
    <n v="1.1619999999999999"/>
    <x v="7"/>
    <x v="0"/>
    <s v="Advance"/>
    <x v="0"/>
    <x v="1"/>
    <n v="3"/>
    <n v="1"/>
    <x v="1"/>
    <d v="1899-12-30T07:43:00"/>
    <x v="0"/>
    <n v="53133"/>
  </r>
  <r>
    <x v="10"/>
    <n v="123519704"/>
    <x v="41"/>
    <x v="4"/>
    <x v="1"/>
    <s v="VBN123"/>
    <s v="Dr. Peter Novak"/>
    <x v="0"/>
    <x v="0"/>
    <n v="1.115"/>
    <x v="4"/>
    <x v="3"/>
    <s v="TH-Plus"/>
    <x v="0"/>
    <x v="1"/>
    <n v="2"/>
    <n v="1"/>
    <x v="0"/>
    <d v="1899-12-30T09:26:00"/>
    <x v="0"/>
    <n v="7372"/>
  </r>
  <r>
    <x v="6"/>
    <n v="123721576"/>
    <x v="10"/>
    <x v="1"/>
    <x v="1"/>
    <s v="FGH234"/>
    <s v="Dr. Hana Suzuki"/>
    <x v="0"/>
    <x v="1"/>
    <n v="1.155"/>
    <x v="5"/>
    <x v="0"/>
    <s v="Basic"/>
    <x v="0"/>
    <x v="1"/>
    <n v="4"/>
    <n v="2"/>
    <x v="0"/>
    <d v="1899-12-30T11:27:00"/>
    <x v="0"/>
    <n v="110590"/>
  </r>
  <r>
    <x v="3"/>
    <n v="123813876"/>
    <x v="30"/>
    <x v="7"/>
    <x v="1"/>
    <s v="ABC456"/>
    <s v="Dr. Ahmed Zayed"/>
    <x v="1"/>
    <x v="1"/>
    <n v="1.1519999999999999"/>
    <x v="2"/>
    <x v="1"/>
    <s v="NC-Blue"/>
    <x v="0"/>
    <x v="1"/>
    <n v="4"/>
    <n v="2"/>
    <x v="1"/>
    <d v="1899-12-30T10:51:00"/>
    <x v="0"/>
    <n v="100152"/>
  </r>
  <r>
    <x v="8"/>
    <n v="123683722"/>
    <x v="42"/>
    <x v="7"/>
    <x v="1"/>
    <s v="ABC234"/>
    <s v="Dr. Thomas Muller"/>
    <x v="1"/>
    <x v="1"/>
    <n v="0.99"/>
    <x v="1"/>
    <x v="2"/>
    <s v="GH-1"/>
    <x v="0"/>
    <x v="2"/>
    <n v="1"/>
    <n v="2"/>
    <x v="0"/>
    <d v="1899-12-30T09:51:00"/>
    <x v="0"/>
    <n v="6436"/>
  </r>
  <r>
    <x v="5"/>
    <n v="123877230"/>
    <x v="2"/>
    <x v="10"/>
    <x v="1"/>
    <s v="ABC234"/>
    <s v="Dr. Thomas Muller"/>
    <x v="1"/>
    <x v="1"/>
    <n v="1.171"/>
    <x v="1"/>
    <x v="0"/>
    <s v="Basic"/>
    <x v="0"/>
    <x v="0"/>
    <n v="0"/>
    <n v="2"/>
    <x v="0"/>
    <d v="1899-12-30T12:37:00"/>
    <x v="1"/>
    <n v="636"/>
  </r>
  <r>
    <x v="1"/>
    <n v="123569295"/>
    <x v="38"/>
    <x v="3"/>
    <x v="0"/>
    <s v="ABC234"/>
    <s v="Dr. Thomas Muller"/>
    <x v="1"/>
    <x v="1"/>
    <n v="1.218"/>
    <x v="1"/>
    <x v="0"/>
    <s v="Basic"/>
    <x v="0"/>
    <x v="0"/>
    <n v="0"/>
    <n v="2"/>
    <x v="1"/>
    <d v="1899-12-30T17:34:00"/>
    <x v="1"/>
    <n v="934"/>
  </r>
  <r>
    <x v="2"/>
    <n v="123821149"/>
    <x v="1"/>
    <x v="0"/>
    <x v="0"/>
    <s v="FGH234"/>
    <s v="Dr. Hana Suzuki"/>
    <x v="0"/>
    <x v="1"/>
    <n v="1.0389999999999999"/>
    <x v="5"/>
    <x v="1"/>
    <s v="NC-Blue"/>
    <x v="0"/>
    <x v="2"/>
    <n v="1"/>
    <n v="1"/>
    <x v="0"/>
    <d v="1899-12-30T21:19:00"/>
    <x v="1"/>
    <n v="8024"/>
  </r>
  <r>
    <x v="11"/>
    <n v="123853410"/>
    <x v="17"/>
    <x v="1"/>
    <x v="0"/>
    <s v="DEF232"/>
    <s v="Dr. Lily James"/>
    <x v="1"/>
    <x v="0"/>
    <n v="0.94399999999999995"/>
    <x v="7"/>
    <x v="0"/>
    <s v="Advance"/>
    <x v="0"/>
    <x v="0"/>
    <n v="0"/>
    <n v="2"/>
    <x v="1"/>
    <d v="1899-12-30T11:02:00"/>
    <x v="0"/>
    <n v="1744"/>
  </r>
  <r>
    <x v="10"/>
    <n v="123857597"/>
    <x v="21"/>
    <x v="4"/>
    <x v="1"/>
    <s v="VBN123"/>
    <s v="Dr. Peter Novak"/>
    <x v="0"/>
    <x v="1"/>
    <n v="0.996"/>
    <x v="4"/>
    <x v="3"/>
    <s v="TH-Standard"/>
    <x v="0"/>
    <x v="1"/>
    <n v="3"/>
    <n v="2"/>
    <x v="1"/>
    <d v="1899-12-30T17:08:00"/>
    <x v="1"/>
    <n v="83100"/>
  </r>
  <r>
    <x v="0"/>
    <n v="123900509"/>
    <x v="43"/>
    <x v="4"/>
    <x v="1"/>
    <s v="ABC123"/>
    <s v="Dr. Shawn Martin"/>
    <x v="0"/>
    <x v="0"/>
    <n v="1.0940000000000001"/>
    <x v="0"/>
    <x v="1"/>
    <s v="NC-Blue"/>
    <x v="0"/>
    <x v="0"/>
    <n v="0"/>
    <n v="2"/>
    <x v="1"/>
    <d v="1899-12-30T16:58:00"/>
    <x v="1"/>
    <n v="2078"/>
  </r>
  <r>
    <x v="11"/>
    <n v="123870816"/>
    <x v="19"/>
    <x v="1"/>
    <x v="1"/>
    <s v="HJK123"/>
    <s v="Dr. Priya Iyer"/>
    <x v="1"/>
    <x v="1"/>
    <n v="1.1220000000000001"/>
    <x v="6"/>
    <x v="0"/>
    <s v="Premium"/>
    <x v="0"/>
    <x v="0"/>
    <n v="0"/>
    <n v="2"/>
    <x v="1"/>
    <d v="1899-12-30T16:18:00"/>
    <x v="1"/>
    <n v="1821"/>
  </r>
  <r>
    <x v="0"/>
    <n v="123801165"/>
    <x v="9"/>
    <x v="4"/>
    <x v="1"/>
    <s v="DEF232"/>
    <s v="Dr. Lily James"/>
    <x v="1"/>
    <x v="0"/>
    <n v="1.1000000000000001"/>
    <x v="7"/>
    <x v="1"/>
    <s v="NC-Gold"/>
    <x v="0"/>
    <x v="1"/>
    <n v="4"/>
    <n v="1"/>
    <x v="0"/>
    <d v="1899-12-30T06:44:00"/>
    <x v="0"/>
    <n v="9984"/>
  </r>
  <r>
    <x v="11"/>
    <n v="123888600"/>
    <x v="8"/>
    <x v="4"/>
    <x v="0"/>
    <s v="FGH234"/>
    <s v="Dr. Hana Suzuki"/>
    <x v="0"/>
    <x v="1"/>
    <n v="1.093"/>
    <x v="5"/>
    <x v="1"/>
    <s v="NC-Gold"/>
    <x v="0"/>
    <x v="0"/>
    <n v="0"/>
    <n v="3"/>
    <x v="0"/>
    <d v="1899-12-30T17:18:00"/>
    <x v="1"/>
    <n v="1950"/>
  </r>
  <r>
    <x v="0"/>
    <n v="123654120"/>
    <x v="36"/>
    <x v="2"/>
    <x v="0"/>
    <s v="HJK123"/>
    <s v="Dr. Priya Iyer"/>
    <x v="1"/>
    <x v="1"/>
    <n v="0.98199999999999998"/>
    <x v="6"/>
    <x v="2"/>
    <s v="GH-2"/>
    <x v="0"/>
    <x v="1"/>
    <n v="4"/>
    <n v="1"/>
    <x v="1"/>
    <d v="1899-12-30T06:18:00"/>
    <x v="0"/>
    <n v="22457"/>
  </r>
  <r>
    <x v="5"/>
    <n v="123745514"/>
    <x v="13"/>
    <x v="4"/>
    <x v="0"/>
    <s v="DEF232"/>
    <s v="Dr. Lily James"/>
    <x v="1"/>
    <x v="1"/>
    <n v="1.06"/>
    <x v="7"/>
    <x v="0"/>
    <s v="Premium"/>
    <x v="0"/>
    <x v="0"/>
    <n v="0"/>
    <n v="2"/>
    <x v="1"/>
    <d v="1899-12-30T20:29:00"/>
    <x v="1"/>
    <n v="791"/>
  </r>
  <r>
    <x v="5"/>
    <n v="123626280"/>
    <x v="18"/>
    <x v="4"/>
    <x v="1"/>
    <s v="QWE123"/>
    <s v="Dr. Omar Khalid"/>
    <x v="2"/>
    <x v="0"/>
    <n v="0.84"/>
    <x v="3"/>
    <x v="0"/>
    <s v="Premium"/>
    <x v="0"/>
    <x v="0"/>
    <n v="0"/>
    <n v="3"/>
    <x v="0"/>
    <d v="1899-12-30T20:06:00"/>
    <x v="1"/>
    <n v="173"/>
  </r>
  <r>
    <x v="1"/>
    <n v="123536394"/>
    <x v="13"/>
    <x v="8"/>
    <x v="1"/>
    <s v="VBN123"/>
    <s v="Dr. Peter Novak"/>
    <x v="0"/>
    <x v="1"/>
    <n v="1.087"/>
    <x v="4"/>
    <x v="2"/>
    <s v="GH-1"/>
    <x v="0"/>
    <x v="0"/>
    <n v="0"/>
    <n v="2"/>
    <x v="0"/>
    <d v="1899-12-30T15:00:00"/>
    <x v="1"/>
    <n v="939"/>
  </r>
  <r>
    <x v="10"/>
    <n v="123965252"/>
    <x v="12"/>
    <x v="12"/>
    <x v="0"/>
    <s v="ABC123"/>
    <s v="Dr. Shawn Martin"/>
    <x v="0"/>
    <x v="1"/>
    <n v="1.0580000000000001"/>
    <x v="0"/>
    <x v="3"/>
    <s v="TH-Standard"/>
    <x v="0"/>
    <x v="1"/>
    <n v="5"/>
    <n v="2"/>
    <x v="1"/>
    <d v="1899-12-30T07:05:00"/>
    <x v="0"/>
    <n v="7883"/>
  </r>
  <r>
    <x v="11"/>
    <n v="123757926"/>
    <x v="10"/>
    <x v="10"/>
    <x v="1"/>
    <s v="ABC456"/>
    <s v="Dr. Ahmed Zayed"/>
    <x v="1"/>
    <x v="1"/>
    <n v="1.0589999999999999"/>
    <x v="2"/>
    <x v="3"/>
    <s v="TH-Plus"/>
    <x v="0"/>
    <x v="0"/>
    <n v="0"/>
    <n v="2"/>
    <x v="0"/>
    <d v="1899-12-30T19:59:00"/>
    <x v="1"/>
    <n v="329"/>
  </r>
  <r>
    <x v="0"/>
    <n v="123694219"/>
    <x v="44"/>
    <x v="6"/>
    <x v="1"/>
    <s v="HJK123"/>
    <s v="Dr. Priya Iyer"/>
    <x v="1"/>
    <x v="0"/>
    <n v="0.96399999999999997"/>
    <x v="6"/>
    <x v="0"/>
    <s v="Advance"/>
    <x v="0"/>
    <x v="0"/>
    <n v="0"/>
    <n v="1"/>
    <x v="1"/>
    <d v="1899-12-30T10:19:00"/>
    <x v="0"/>
    <n v="198"/>
  </r>
  <r>
    <x v="5"/>
    <n v="123551743"/>
    <x v="45"/>
    <x v="3"/>
    <x v="1"/>
    <s v="VBN123"/>
    <s v="Dr. Peter Novak"/>
    <x v="0"/>
    <x v="1"/>
    <n v="1.1579999999999999"/>
    <x v="4"/>
    <x v="0"/>
    <s v="Advance"/>
    <x v="0"/>
    <x v="2"/>
    <n v="1"/>
    <n v="1"/>
    <x v="0"/>
    <d v="1899-12-30T17:19:00"/>
    <x v="1"/>
    <n v="6784"/>
  </r>
  <r>
    <x v="3"/>
    <n v="123756827"/>
    <x v="33"/>
    <x v="10"/>
    <x v="1"/>
    <s v="ABC456"/>
    <s v="Dr. Ahmed Zayed"/>
    <x v="1"/>
    <x v="1"/>
    <n v="0.877"/>
    <x v="2"/>
    <x v="0"/>
    <s v="Premium"/>
    <x v="0"/>
    <x v="0"/>
    <n v="0"/>
    <n v="1"/>
    <x v="1"/>
    <d v="1899-12-30T06:33:00"/>
    <x v="0"/>
    <n v="1845"/>
  </r>
  <r>
    <x v="4"/>
    <n v="123652265"/>
    <x v="22"/>
    <x v="12"/>
    <x v="1"/>
    <s v="ABC123"/>
    <s v="Dr. Shawn Martin"/>
    <x v="0"/>
    <x v="1"/>
    <n v="1.091"/>
    <x v="0"/>
    <x v="1"/>
    <s v="NC-Blue"/>
    <x v="0"/>
    <x v="0"/>
    <n v="0"/>
    <n v="2"/>
    <x v="0"/>
    <d v="1899-12-30T13:54:00"/>
    <x v="1"/>
    <n v="1177"/>
  </r>
  <r>
    <x v="11"/>
    <n v="123532120"/>
    <x v="38"/>
    <x v="3"/>
    <x v="1"/>
    <s v="HJK123"/>
    <s v="Dr. Priya Iyer"/>
    <x v="1"/>
    <x v="0"/>
    <n v="1.0029999999999999"/>
    <x v="6"/>
    <x v="0"/>
    <s v="Basic"/>
    <x v="0"/>
    <x v="1"/>
    <n v="4"/>
    <n v="1"/>
    <x v="1"/>
    <d v="1899-12-30T14:46:00"/>
    <x v="1"/>
    <n v="46347"/>
  </r>
  <r>
    <x v="11"/>
    <n v="123660739"/>
    <x v="30"/>
    <x v="0"/>
    <x v="0"/>
    <s v="FGH123"/>
    <s v="Dr. Sofia Kim"/>
    <x v="2"/>
    <x v="1"/>
    <n v="1.173"/>
    <x v="9"/>
    <x v="1"/>
    <s v="NC-Blue"/>
    <x v="0"/>
    <x v="1"/>
    <n v="6"/>
    <n v="1"/>
    <x v="1"/>
    <d v="1899-12-30T10:19:00"/>
    <x v="0"/>
    <n v="54256"/>
  </r>
  <r>
    <x v="10"/>
    <n v="123810642"/>
    <x v="46"/>
    <x v="7"/>
    <x v="1"/>
    <s v="DEF232"/>
    <s v="Dr. Lily James"/>
    <x v="1"/>
    <x v="0"/>
    <n v="1.2470000000000001"/>
    <x v="7"/>
    <x v="0"/>
    <s v="Premium"/>
    <x v="0"/>
    <x v="2"/>
    <n v="1"/>
    <n v="2"/>
    <x v="1"/>
    <d v="1899-12-30T15:32:00"/>
    <x v="1"/>
    <n v="4547"/>
  </r>
  <r>
    <x v="9"/>
    <n v="123992726"/>
    <x v="20"/>
    <x v="13"/>
    <x v="0"/>
    <s v="HJK123"/>
    <s v="Dr. Priya Iyer"/>
    <x v="1"/>
    <x v="1"/>
    <n v="1.048"/>
    <x v="6"/>
    <x v="2"/>
    <s v="GH-1"/>
    <x v="0"/>
    <x v="2"/>
    <n v="1"/>
    <n v="2"/>
    <x v="0"/>
    <d v="1899-12-30T21:22:00"/>
    <x v="1"/>
    <n v="1797"/>
  </r>
  <r>
    <x v="0"/>
    <n v="123458660"/>
    <x v="10"/>
    <x v="3"/>
    <x v="0"/>
    <s v="ABC456"/>
    <s v="Dr. Ahmed Zayed"/>
    <x v="1"/>
    <x v="1"/>
    <n v="1.07"/>
    <x v="2"/>
    <x v="0"/>
    <s v="Basic"/>
    <x v="0"/>
    <x v="1"/>
    <n v="4"/>
    <n v="3"/>
    <x v="1"/>
    <d v="1899-12-30T12:07:00"/>
    <x v="1"/>
    <n v="111745"/>
  </r>
  <r>
    <x v="4"/>
    <n v="123846460"/>
    <x v="9"/>
    <x v="0"/>
    <x v="0"/>
    <s v="ABC123"/>
    <s v="Dr. Shawn Martin"/>
    <x v="0"/>
    <x v="1"/>
    <n v="1.1140000000000001"/>
    <x v="0"/>
    <x v="1"/>
    <s v="NC-Blue"/>
    <x v="0"/>
    <x v="1"/>
    <n v="4"/>
    <n v="1"/>
    <x v="1"/>
    <d v="1899-12-30T18:22:00"/>
    <x v="1"/>
    <n v="51469"/>
  </r>
  <r>
    <x v="1"/>
    <n v="123916406"/>
    <x v="42"/>
    <x v="0"/>
    <x v="0"/>
    <s v="VBN123"/>
    <s v="Dr. Peter Novak"/>
    <x v="0"/>
    <x v="1"/>
    <n v="1.333"/>
    <x v="4"/>
    <x v="1"/>
    <s v="NC-Blue"/>
    <x v="0"/>
    <x v="1"/>
    <n v="2"/>
    <n v="3"/>
    <x v="0"/>
    <d v="1899-12-30T06:22:00"/>
    <x v="0"/>
    <n v="21474"/>
  </r>
  <r>
    <x v="1"/>
    <n v="123686548"/>
    <x v="24"/>
    <x v="9"/>
    <x v="0"/>
    <s v="VBN123"/>
    <s v="Dr. Peter Novak"/>
    <x v="0"/>
    <x v="1"/>
    <n v="1.266"/>
    <x v="4"/>
    <x v="0"/>
    <s v="Premium"/>
    <x v="0"/>
    <x v="1"/>
    <n v="3"/>
    <n v="2"/>
    <x v="1"/>
    <d v="1899-12-30T17:34:00"/>
    <x v="1"/>
    <n v="84130"/>
  </r>
  <r>
    <x v="9"/>
    <n v="123603405"/>
    <x v="47"/>
    <x v="0"/>
    <x v="1"/>
    <s v="ABC234"/>
    <s v="Dr. Thomas Muller"/>
    <x v="1"/>
    <x v="1"/>
    <n v="1.046"/>
    <x v="1"/>
    <x v="0"/>
    <s v="Advance"/>
    <x v="0"/>
    <x v="1"/>
    <n v="3"/>
    <n v="2"/>
    <x v="0"/>
    <d v="1899-12-30T20:44:00"/>
    <x v="1"/>
    <n v="39307"/>
  </r>
  <r>
    <x v="9"/>
    <n v="123918689"/>
    <x v="14"/>
    <x v="7"/>
    <x v="1"/>
    <s v="ABC123"/>
    <s v="Dr. Shawn Martin"/>
    <x v="0"/>
    <x v="1"/>
    <n v="1.1319999999999999"/>
    <x v="0"/>
    <x v="0"/>
    <s v="Basic"/>
    <x v="0"/>
    <x v="2"/>
    <n v="1"/>
    <n v="2"/>
    <x v="1"/>
    <d v="1899-12-30T17:25:00"/>
    <x v="1"/>
    <n v="7498"/>
  </r>
  <r>
    <x v="10"/>
    <n v="123933595"/>
    <x v="48"/>
    <x v="5"/>
    <x v="1"/>
    <s v="ABC123"/>
    <s v="Dr. Shawn Martin"/>
    <x v="0"/>
    <x v="1"/>
    <n v="1.07"/>
    <x v="0"/>
    <x v="0"/>
    <s v="Basic"/>
    <x v="0"/>
    <x v="0"/>
    <n v="0"/>
    <n v="1"/>
    <x v="1"/>
    <d v="1899-12-30T21:37:00"/>
    <x v="1"/>
    <n v="585"/>
  </r>
  <r>
    <x v="2"/>
    <n v="123522770"/>
    <x v="20"/>
    <x v="4"/>
    <x v="1"/>
    <s v="QWE234"/>
    <s v="Dr. Aisha Rahman"/>
    <x v="1"/>
    <x v="1"/>
    <n v="1.0289999999999999"/>
    <x v="8"/>
    <x v="2"/>
    <s v="GH-2"/>
    <x v="0"/>
    <x v="2"/>
    <n v="1"/>
    <n v="3"/>
    <x v="1"/>
    <d v="1899-12-30T09:47:00"/>
    <x v="0"/>
    <n v="9706"/>
  </r>
  <r>
    <x v="4"/>
    <n v="123776011"/>
    <x v="36"/>
    <x v="1"/>
    <x v="0"/>
    <s v="VBN123"/>
    <s v="Dr. Peter Novak"/>
    <x v="0"/>
    <x v="1"/>
    <n v="1.181"/>
    <x v="4"/>
    <x v="3"/>
    <s v="TH-Standard"/>
    <x v="0"/>
    <x v="2"/>
    <n v="1"/>
    <n v="1"/>
    <x v="1"/>
    <d v="1899-12-30T19:23:00"/>
    <x v="1"/>
    <n v="4350"/>
  </r>
  <r>
    <x v="0"/>
    <n v="123473613"/>
    <x v="27"/>
    <x v="0"/>
    <x v="1"/>
    <s v="VBN123"/>
    <s v="Dr. Peter Novak"/>
    <x v="0"/>
    <x v="1"/>
    <n v="1.25"/>
    <x v="4"/>
    <x v="1"/>
    <s v="NC-Blue"/>
    <x v="0"/>
    <x v="2"/>
    <n v="1"/>
    <n v="2"/>
    <x v="1"/>
    <d v="1899-12-30T20:14:00"/>
    <x v="1"/>
    <n v="1885"/>
  </r>
  <r>
    <x v="1"/>
    <n v="123462692"/>
    <x v="4"/>
    <x v="4"/>
    <x v="1"/>
    <s v="FGH234"/>
    <s v="Dr. Hana Suzuki"/>
    <x v="0"/>
    <x v="1"/>
    <n v="1.2549999999999999"/>
    <x v="5"/>
    <x v="0"/>
    <s v="Advance"/>
    <x v="0"/>
    <x v="1"/>
    <n v="5"/>
    <n v="2"/>
    <x v="1"/>
    <d v="1899-12-30T21:44:00"/>
    <x v="1"/>
    <n v="33201"/>
  </r>
  <r>
    <x v="6"/>
    <n v="123616675"/>
    <x v="1"/>
    <x v="1"/>
    <x v="1"/>
    <s v="QWE234"/>
    <s v="Dr. Aisha Rahman"/>
    <x v="1"/>
    <x v="0"/>
    <n v="1.0469999999999999"/>
    <x v="8"/>
    <x v="0"/>
    <s v="Advance"/>
    <x v="0"/>
    <x v="1"/>
    <n v="3"/>
    <n v="2"/>
    <x v="0"/>
    <d v="1899-12-30T15:31:00"/>
    <x v="1"/>
    <n v="60717"/>
  </r>
  <r>
    <x v="8"/>
    <n v="123982759"/>
    <x v="44"/>
    <x v="3"/>
    <x v="1"/>
    <s v="QWE234"/>
    <s v="Dr. Aisha Rahman"/>
    <x v="1"/>
    <x v="1"/>
    <n v="1.2270000000000001"/>
    <x v="8"/>
    <x v="3"/>
    <s v="TH-Standard"/>
    <x v="0"/>
    <x v="1"/>
    <n v="3"/>
    <n v="2"/>
    <x v="1"/>
    <d v="1899-12-30T17:21:00"/>
    <x v="1"/>
    <n v="44659"/>
  </r>
  <r>
    <x v="1"/>
    <n v="123705449"/>
    <x v="17"/>
    <x v="1"/>
    <x v="1"/>
    <s v="FGH234"/>
    <s v="Dr. Hana Suzuki"/>
    <x v="0"/>
    <x v="1"/>
    <n v="1.196"/>
    <x v="5"/>
    <x v="0"/>
    <s v="Advance"/>
    <x v="0"/>
    <x v="1"/>
    <n v="3"/>
    <n v="2"/>
    <x v="1"/>
    <d v="1899-12-30T21:28:00"/>
    <x v="1"/>
    <n v="67213"/>
  </r>
  <r>
    <x v="5"/>
    <n v="123620248"/>
    <x v="2"/>
    <x v="3"/>
    <x v="0"/>
    <s v="QWE123"/>
    <s v="Dr. Omar Khalid"/>
    <x v="2"/>
    <x v="1"/>
    <n v="1.069"/>
    <x v="3"/>
    <x v="2"/>
    <s v="GH-2"/>
    <x v="0"/>
    <x v="0"/>
    <n v="0"/>
    <n v="2"/>
    <x v="0"/>
    <d v="1899-12-30T08:46:00"/>
    <x v="0"/>
    <n v="561"/>
  </r>
  <r>
    <x v="10"/>
    <n v="123752425"/>
    <x v="20"/>
    <x v="6"/>
    <x v="1"/>
    <s v="ABC234"/>
    <s v="Dr. Thomas Muller"/>
    <x v="1"/>
    <x v="1"/>
    <n v="1.2130000000000001"/>
    <x v="1"/>
    <x v="0"/>
    <s v="Premium"/>
    <x v="0"/>
    <x v="1"/>
    <n v="4"/>
    <n v="2"/>
    <x v="0"/>
    <d v="1899-12-30T10:16:00"/>
    <x v="0"/>
    <n v="22859"/>
  </r>
  <r>
    <x v="6"/>
    <n v="123516159"/>
    <x v="48"/>
    <x v="5"/>
    <x v="1"/>
    <s v="VBN123"/>
    <s v="Dr. Peter Novak"/>
    <x v="0"/>
    <x v="1"/>
    <n v="1.252"/>
    <x v="4"/>
    <x v="0"/>
    <s v="Basic"/>
    <x v="0"/>
    <x v="1"/>
    <n v="4"/>
    <n v="2"/>
    <x v="0"/>
    <d v="1899-12-30T20:08:00"/>
    <x v="1"/>
    <n v="68195"/>
  </r>
  <r>
    <x v="10"/>
    <n v="123668663"/>
    <x v="20"/>
    <x v="13"/>
    <x v="1"/>
    <s v="DEF232"/>
    <s v="Dr. Lily James"/>
    <x v="1"/>
    <x v="1"/>
    <n v="0.98899999999999999"/>
    <x v="7"/>
    <x v="0"/>
    <s v="Advance"/>
    <x v="0"/>
    <x v="2"/>
    <n v="1"/>
    <n v="2"/>
    <x v="1"/>
    <d v="1899-12-30T11:41:00"/>
    <x v="0"/>
    <n v="7921"/>
  </r>
  <r>
    <x v="0"/>
    <n v="123998385"/>
    <x v="12"/>
    <x v="0"/>
    <x v="1"/>
    <s v="DEF232"/>
    <s v="Dr. Lily James"/>
    <x v="1"/>
    <x v="1"/>
    <n v="1.0629999999999999"/>
    <x v="7"/>
    <x v="2"/>
    <s v="GH-2"/>
    <x v="0"/>
    <x v="1"/>
    <n v="5"/>
    <n v="1"/>
    <x v="0"/>
    <d v="1899-12-30T12:51:00"/>
    <x v="1"/>
    <n v="64050"/>
  </r>
  <r>
    <x v="2"/>
    <n v="123934283"/>
    <x v="48"/>
    <x v="1"/>
    <x v="1"/>
    <s v="HJK123"/>
    <s v="Dr. Priya Iyer"/>
    <x v="1"/>
    <x v="0"/>
    <n v="0.999"/>
    <x v="6"/>
    <x v="3"/>
    <s v="TH-Standard"/>
    <x v="0"/>
    <x v="0"/>
    <n v="0"/>
    <n v="1"/>
    <x v="0"/>
    <d v="1899-12-30T17:28:00"/>
    <x v="1"/>
    <n v="1103"/>
  </r>
  <r>
    <x v="2"/>
    <n v="123513892"/>
    <x v="9"/>
    <x v="8"/>
    <x v="1"/>
    <s v="QWE234"/>
    <s v="Dr. Aisha Rahman"/>
    <x v="1"/>
    <x v="1"/>
    <n v="1.1499999999999999"/>
    <x v="8"/>
    <x v="0"/>
    <s v="Advance"/>
    <x v="0"/>
    <x v="0"/>
    <n v="0"/>
    <n v="2"/>
    <x v="1"/>
    <d v="1899-12-30T06:31:00"/>
    <x v="0"/>
    <n v="385"/>
  </r>
  <r>
    <x v="4"/>
    <n v="123818167"/>
    <x v="0"/>
    <x v="6"/>
    <x v="1"/>
    <s v="FGH234"/>
    <s v="Dr. Hana Suzuki"/>
    <x v="0"/>
    <x v="1"/>
    <n v="1.139"/>
    <x v="5"/>
    <x v="0"/>
    <s v="Premium"/>
    <x v="0"/>
    <x v="1"/>
    <n v="6"/>
    <n v="2"/>
    <x v="0"/>
    <d v="1899-12-30T13:38:00"/>
    <x v="1"/>
    <n v="36248"/>
  </r>
  <r>
    <x v="4"/>
    <n v="123795082"/>
    <x v="16"/>
    <x v="4"/>
    <x v="0"/>
    <s v="FGH123"/>
    <s v="Dr. Sofia Kim"/>
    <x v="2"/>
    <x v="1"/>
    <n v="0.878"/>
    <x v="9"/>
    <x v="0"/>
    <s v="Premium"/>
    <x v="0"/>
    <x v="1"/>
    <n v="3"/>
    <n v="1"/>
    <x v="1"/>
    <d v="1899-12-30T21:30:00"/>
    <x v="1"/>
    <n v="11895"/>
  </r>
  <r>
    <x v="0"/>
    <n v="123925712"/>
    <x v="45"/>
    <x v="12"/>
    <x v="0"/>
    <s v="HJK123"/>
    <s v="Dr. Priya Iyer"/>
    <x v="1"/>
    <x v="1"/>
    <n v="1.2130000000000001"/>
    <x v="6"/>
    <x v="2"/>
    <s v="GH-1"/>
    <x v="0"/>
    <x v="2"/>
    <n v="1"/>
    <n v="2"/>
    <x v="1"/>
    <d v="1899-12-30T14:48:00"/>
    <x v="1"/>
    <n v="6837"/>
  </r>
  <r>
    <x v="6"/>
    <n v="123471775"/>
    <x v="3"/>
    <x v="6"/>
    <x v="1"/>
    <s v="VBN123"/>
    <s v="Dr. Peter Novak"/>
    <x v="0"/>
    <x v="1"/>
    <n v="1.1000000000000001"/>
    <x v="4"/>
    <x v="1"/>
    <s v="NC-Blue"/>
    <x v="0"/>
    <x v="1"/>
    <n v="6"/>
    <n v="2"/>
    <x v="0"/>
    <d v="1899-12-30T08:14:00"/>
    <x v="0"/>
    <n v="40832"/>
  </r>
  <r>
    <x v="6"/>
    <n v="123589778"/>
    <x v="49"/>
    <x v="12"/>
    <x v="1"/>
    <s v="DEF232"/>
    <s v="Dr. Lily James"/>
    <x v="1"/>
    <x v="0"/>
    <n v="1.0269999999999999"/>
    <x v="7"/>
    <x v="0"/>
    <s v="Premium"/>
    <x v="0"/>
    <x v="0"/>
    <n v="0"/>
    <n v="1"/>
    <x v="1"/>
    <d v="1899-12-30T07:05:00"/>
    <x v="0"/>
    <n v="371"/>
  </r>
  <r>
    <x v="7"/>
    <n v="123587010"/>
    <x v="0"/>
    <x v="4"/>
    <x v="0"/>
    <s v="FGH234"/>
    <s v="Dr. Hana Suzuki"/>
    <x v="0"/>
    <x v="1"/>
    <n v="0.95399999999999996"/>
    <x v="5"/>
    <x v="3"/>
    <s v="TH-Standard"/>
    <x v="0"/>
    <x v="1"/>
    <n v="2"/>
    <n v="1"/>
    <x v="0"/>
    <d v="1899-12-30T09:52:00"/>
    <x v="0"/>
    <n v="102497"/>
  </r>
  <r>
    <x v="5"/>
    <n v="123533803"/>
    <x v="36"/>
    <x v="1"/>
    <x v="1"/>
    <s v="HJK123"/>
    <s v="Dr. Priya Iyer"/>
    <x v="1"/>
    <x v="1"/>
    <n v="1.099"/>
    <x v="6"/>
    <x v="0"/>
    <s v="Premium"/>
    <x v="0"/>
    <x v="0"/>
    <n v="0"/>
    <n v="2"/>
    <x v="0"/>
    <d v="1899-12-30T20:32:00"/>
    <x v="1"/>
    <n v="1072"/>
  </r>
  <r>
    <x v="4"/>
    <n v="123895741"/>
    <x v="9"/>
    <x v="0"/>
    <x v="1"/>
    <s v="VBN123"/>
    <s v="Dr. Peter Novak"/>
    <x v="0"/>
    <x v="1"/>
    <n v="1.167"/>
    <x v="4"/>
    <x v="2"/>
    <s v="GH-2"/>
    <x v="0"/>
    <x v="1"/>
    <n v="5"/>
    <n v="1"/>
    <x v="1"/>
    <d v="1899-12-30T08:23:00"/>
    <x v="0"/>
    <n v="11167"/>
  </r>
  <r>
    <x v="3"/>
    <n v="123463927"/>
    <x v="49"/>
    <x v="12"/>
    <x v="0"/>
    <s v="FGH234"/>
    <s v="Dr. Hana Suzuki"/>
    <x v="0"/>
    <x v="1"/>
    <n v="1.0840000000000001"/>
    <x v="5"/>
    <x v="3"/>
    <s v="TH-Standard"/>
    <x v="0"/>
    <x v="1"/>
    <n v="5"/>
    <n v="3"/>
    <x v="0"/>
    <d v="1899-12-30T11:42:00"/>
    <x v="0"/>
    <n v="85494"/>
  </r>
  <r>
    <x v="10"/>
    <n v="123813009"/>
    <x v="4"/>
    <x v="1"/>
    <x v="1"/>
    <s v="FGH234"/>
    <s v="Dr. Hana Suzuki"/>
    <x v="0"/>
    <x v="0"/>
    <n v="0.96"/>
    <x v="5"/>
    <x v="2"/>
    <s v="GH-2"/>
    <x v="0"/>
    <x v="1"/>
    <n v="4"/>
    <n v="1"/>
    <x v="0"/>
    <d v="1899-12-30T08:42:00"/>
    <x v="0"/>
    <n v="41440"/>
  </r>
  <r>
    <x v="11"/>
    <n v="123950732"/>
    <x v="13"/>
    <x v="3"/>
    <x v="1"/>
    <s v="FGH234"/>
    <s v="Dr. Hana Suzuki"/>
    <x v="0"/>
    <x v="1"/>
    <n v="1.0940000000000001"/>
    <x v="5"/>
    <x v="0"/>
    <s v="Premium"/>
    <x v="0"/>
    <x v="1"/>
    <n v="3"/>
    <n v="1"/>
    <x v="1"/>
    <d v="1899-12-30T15:13:00"/>
    <x v="1"/>
    <n v="117884"/>
  </r>
  <r>
    <x v="6"/>
    <n v="123475672"/>
    <x v="16"/>
    <x v="4"/>
    <x v="0"/>
    <s v="ABC234"/>
    <s v="Dr. Thomas Muller"/>
    <x v="1"/>
    <x v="1"/>
    <n v="1.202"/>
    <x v="1"/>
    <x v="3"/>
    <s v="TH-Standard"/>
    <x v="0"/>
    <x v="1"/>
    <n v="5"/>
    <n v="1"/>
    <x v="0"/>
    <d v="1899-12-30T12:59:00"/>
    <x v="1"/>
    <n v="75631"/>
  </r>
  <r>
    <x v="4"/>
    <n v="123541041"/>
    <x v="20"/>
    <x v="0"/>
    <x v="1"/>
    <s v="DEF232"/>
    <s v="Dr. Lily James"/>
    <x v="1"/>
    <x v="1"/>
    <n v="1.2789999999999999"/>
    <x v="7"/>
    <x v="1"/>
    <s v="NC-Blue"/>
    <x v="0"/>
    <x v="1"/>
    <n v="5"/>
    <n v="1"/>
    <x v="1"/>
    <d v="1899-12-30T12:20:00"/>
    <x v="1"/>
    <n v="39884"/>
  </r>
  <r>
    <x v="4"/>
    <n v="123484101"/>
    <x v="16"/>
    <x v="8"/>
    <x v="0"/>
    <s v="ABC123"/>
    <s v="Dr. Shawn Martin"/>
    <x v="0"/>
    <x v="1"/>
    <n v="1.105"/>
    <x v="0"/>
    <x v="2"/>
    <s v="GH-2"/>
    <x v="0"/>
    <x v="1"/>
    <n v="4"/>
    <n v="3"/>
    <x v="1"/>
    <d v="1899-12-30T16:40:00"/>
    <x v="1"/>
    <n v="67644"/>
  </r>
  <r>
    <x v="0"/>
    <n v="123820006"/>
    <x v="35"/>
    <x v="10"/>
    <x v="1"/>
    <s v="VBN123"/>
    <s v="Dr. Peter Novak"/>
    <x v="0"/>
    <x v="1"/>
    <n v="1.018"/>
    <x v="4"/>
    <x v="3"/>
    <s v="TH-Plus"/>
    <x v="0"/>
    <x v="1"/>
    <n v="4"/>
    <n v="2"/>
    <x v="0"/>
    <d v="1899-12-30T10:41:00"/>
    <x v="0"/>
    <n v="104964"/>
  </r>
  <r>
    <x v="2"/>
    <n v="123891723"/>
    <x v="24"/>
    <x v="2"/>
    <x v="1"/>
    <s v="FGH234"/>
    <s v="Dr. Hana Suzuki"/>
    <x v="0"/>
    <x v="1"/>
    <n v="1.0049999999999999"/>
    <x v="5"/>
    <x v="0"/>
    <s v="Advance"/>
    <x v="0"/>
    <x v="0"/>
    <n v="0"/>
    <n v="1"/>
    <x v="1"/>
    <d v="1899-12-30T09:38:00"/>
    <x v="0"/>
    <n v="1869"/>
  </r>
  <r>
    <x v="8"/>
    <n v="123982697"/>
    <x v="35"/>
    <x v="8"/>
    <x v="1"/>
    <s v="FGH234"/>
    <s v="Dr. Hana Suzuki"/>
    <x v="0"/>
    <x v="1"/>
    <n v="1.099"/>
    <x v="5"/>
    <x v="3"/>
    <s v="TH-Plus"/>
    <x v="0"/>
    <x v="0"/>
    <n v="0"/>
    <n v="2"/>
    <x v="0"/>
    <d v="1899-12-30T14:36:00"/>
    <x v="1"/>
    <n v="900"/>
  </r>
  <r>
    <x v="3"/>
    <n v="123521405"/>
    <x v="30"/>
    <x v="11"/>
    <x v="0"/>
    <s v="ABC234"/>
    <s v="Dr. Thomas Muller"/>
    <x v="1"/>
    <x v="1"/>
    <n v="0.94299999999999995"/>
    <x v="1"/>
    <x v="0"/>
    <s v="Advance"/>
    <x v="0"/>
    <x v="1"/>
    <n v="6"/>
    <n v="1"/>
    <x v="0"/>
    <d v="1899-12-30T19:37:00"/>
    <x v="1"/>
    <n v="98139"/>
  </r>
  <r>
    <x v="0"/>
    <n v="123916292"/>
    <x v="19"/>
    <x v="3"/>
    <x v="0"/>
    <s v="FGH234"/>
    <s v="Dr. Hana Suzuki"/>
    <x v="0"/>
    <x v="1"/>
    <n v="1.1080000000000001"/>
    <x v="5"/>
    <x v="1"/>
    <s v="NC-Gold"/>
    <x v="0"/>
    <x v="2"/>
    <n v="1"/>
    <n v="2"/>
    <x v="1"/>
    <d v="1899-12-30T08:46:00"/>
    <x v="0"/>
    <n v="11108"/>
  </r>
  <r>
    <x v="5"/>
    <n v="123477842"/>
    <x v="31"/>
    <x v="6"/>
    <x v="0"/>
    <s v="ABC123"/>
    <s v="Dr. Shawn Martin"/>
    <x v="0"/>
    <x v="1"/>
    <n v="0.86699999999999999"/>
    <x v="0"/>
    <x v="0"/>
    <s v="Basic"/>
    <x v="0"/>
    <x v="0"/>
    <n v="0"/>
    <n v="1"/>
    <x v="0"/>
    <d v="1899-12-30T15:33:00"/>
    <x v="1"/>
    <n v="1783"/>
  </r>
  <r>
    <x v="8"/>
    <n v="123835370"/>
    <x v="8"/>
    <x v="4"/>
    <x v="0"/>
    <s v="ABC123"/>
    <s v="Dr. Shawn Martin"/>
    <x v="0"/>
    <x v="1"/>
    <n v="0.94699999999999995"/>
    <x v="0"/>
    <x v="0"/>
    <s v="Basic"/>
    <x v="0"/>
    <x v="2"/>
    <n v="1"/>
    <n v="1"/>
    <x v="1"/>
    <d v="1899-12-30T10:46:00"/>
    <x v="0"/>
    <n v="3487"/>
  </r>
  <r>
    <x v="2"/>
    <n v="123749671"/>
    <x v="0"/>
    <x v="0"/>
    <x v="1"/>
    <s v="ABC234"/>
    <s v="Dr. Thomas Muller"/>
    <x v="1"/>
    <x v="1"/>
    <n v="1.1319999999999999"/>
    <x v="1"/>
    <x v="0"/>
    <s v="Premium"/>
    <x v="0"/>
    <x v="0"/>
    <n v="0"/>
    <n v="2"/>
    <x v="1"/>
    <d v="1899-12-30T17:46:00"/>
    <x v="1"/>
    <n v="2014"/>
  </r>
  <r>
    <x v="2"/>
    <n v="123861381"/>
    <x v="2"/>
    <x v="13"/>
    <x v="1"/>
    <s v="FGH234"/>
    <s v="Dr. Hana Suzuki"/>
    <x v="0"/>
    <x v="0"/>
    <n v="1.044"/>
    <x v="5"/>
    <x v="0"/>
    <s v="Premium"/>
    <x v="0"/>
    <x v="2"/>
    <n v="1"/>
    <n v="2"/>
    <x v="0"/>
    <d v="1899-12-30T18:22:00"/>
    <x v="1"/>
    <n v="5046"/>
  </r>
  <r>
    <x v="7"/>
    <n v="123754257"/>
    <x v="30"/>
    <x v="1"/>
    <x v="1"/>
    <s v="QWE123"/>
    <s v="Dr. Omar Khalid"/>
    <x v="2"/>
    <x v="1"/>
    <n v="1.1879999999999999"/>
    <x v="3"/>
    <x v="2"/>
    <s v="GH-1"/>
    <x v="0"/>
    <x v="0"/>
    <n v="0"/>
    <n v="2"/>
    <x v="1"/>
    <d v="1899-12-30T20:15:00"/>
    <x v="1"/>
    <n v="819"/>
  </r>
  <r>
    <x v="9"/>
    <n v="123502797"/>
    <x v="18"/>
    <x v="0"/>
    <x v="1"/>
    <s v="DEF232"/>
    <s v="Dr. Lily James"/>
    <x v="1"/>
    <x v="1"/>
    <n v="1.2090000000000001"/>
    <x v="7"/>
    <x v="0"/>
    <s v="Premium"/>
    <x v="0"/>
    <x v="1"/>
    <n v="4"/>
    <n v="3"/>
    <x v="0"/>
    <d v="1899-12-30T11:47:00"/>
    <x v="0"/>
    <n v="27959"/>
  </r>
  <r>
    <x v="9"/>
    <n v="123898449"/>
    <x v="32"/>
    <x v="1"/>
    <x v="1"/>
    <s v="QWE234"/>
    <s v="Dr. Aisha Rahman"/>
    <x v="1"/>
    <x v="1"/>
    <n v="1"/>
    <x v="8"/>
    <x v="0"/>
    <s v="Basic"/>
    <x v="0"/>
    <x v="2"/>
    <n v="1"/>
    <n v="2"/>
    <x v="0"/>
    <d v="1899-12-30T21:13:00"/>
    <x v="1"/>
    <n v="3318"/>
  </r>
  <r>
    <x v="5"/>
    <n v="123561014"/>
    <x v="34"/>
    <x v="1"/>
    <x v="1"/>
    <s v="FGH123"/>
    <s v="Dr. Sofia Kim"/>
    <x v="2"/>
    <x v="0"/>
    <n v="0.96099999999999997"/>
    <x v="9"/>
    <x v="2"/>
    <s v="GH-2"/>
    <x v="0"/>
    <x v="1"/>
    <n v="5"/>
    <n v="2"/>
    <x v="1"/>
    <d v="1899-12-30T10:42:00"/>
    <x v="0"/>
    <n v="63741"/>
  </r>
  <r>
    <x v="8"/>
    <n v="123464567"/>
    <x v="3"/>
    <x v="3"/>
    <x v="0"/>
    <s v="ABC123"/>
    <s v="Dr. Shawn Martin"/>
    <x v="0"/>
    <x v="1"/>
    <n v="0.96299999999999997"/>
    <x v="0"/>
    <x v="0"/>
    <s v="Advance"/>
    <x v="0"/>
    <x v="2"/>
    <n v="1"/>
    <n v="1"/>
    <x v="0"/>
    <d v="1899-12-30T14:58:00"/>
    <x v="1"/>
    <n v="8257"/>
  </r>
  <r>
    <x v="3"/>
    <n v="123842187"/>
    <x v="18"/>
    <x v="3"/>
    <x v="0"/>
    <s v="FGH123"/>
    <s v="Dr. Sofia Kim"/>
    <x v="2"/>
    <x v="1"/>
    <n v="1.0880000000000001"/>
    <x v="9"/>
    <x v="2"/>
    <s v="GH-2"/>
    <x v="0"/>
    <x v="1"/>
    <n v="6"/>
    <n v="1"/>
    <x v="0"/>
    <d v="1899-12-30T19:09:00"/>
    <x v="1"/>
    <n v="66597"/>
  </r>
  <r>
    <x v="7"/>
    <n v="123740268"/>
    <x v="23"/>
    <x v="4"/>
    <x v="1"/>
    <s v="QWE234"/>
    <s v="Dr. Aisha Rahman"/>
    <x v="1"/>
    <x v="0"/>
    <n v="1.129"/>
    <x v="8"/>
    <x v="0"/>
    <s v="Advance"/>
    <x v="0"/>
    <x v="0"/>
    <n v="0"/>
    <n v="2"/>
    <x v="0"/>
    <d v="1899-12-30T09:40:00"/>
    <x v="0"/>
    <n v="140"/>
  </r>
  <r>
    <x v="11"/>
    <n v="123989230"/>
    <x v="37"/>
    <x v="1"/>
    <x v="1"/>
    <s v="QWE234"/>
    <s v="Dr. Aisha Rahman"/>
    <x v="1"/>
    <x v="1"/>
    <n v="0.94599999999999995"/>
    <x v="8"/>
    <x v="0"/>
    <s v="Advance"/>
    <x v="0"/>
    <x v="0"/>
    <n v="0"/>
    <n v="2"/>
    <x v="0"/>
    <d v="1899-12-30T08:22:00"/>
    <x v="0"/>
    <n v="261"/>
  </r>
  <r>
    <x v="2"/>
    <n v="123863685"/>
    <x v="21"/>
    <x v="13"/>
    <x v="1"/>
    <s v="FGH123"/>
    <s v="Dr. Sofia Kim"/>
    <x v="2"/>
    <x v="1"/>
    <n v="1.123"/>
    <x v="9"/>
    <x v="0"/>
    <s v="Advance"/>
    <x v="0"/>
    <x v="2"/>
    <n v="1"/>
    <n v="1"/>
    <x v="1"/>
    <d v="1899-12-30T19:07:00"/>
    <x v="1"/>
    <n v="6052"/>
  </r>
  <r>
    <x v="5"/>
    <n v="123479038"/>
    <x v="7"/>
    <x v="8"/>
    <x v="1"/>
    <s v="ABC456"/>
    <s v="Dr. Ahmed Zayed"/>
    <x v="1"/>
    <x v="0"/>
    <n v="1.1040000000000001"/>
    <x v="2"/>
    <x v="0"/>
    <s v="Basic"/>
    <x v="0"/>
    <x v="1"/>
    <n v="7"/>
    <n v="1"/>
    <x v="0"/>
    <d v="1899-12-30T19:56:00"/>
    <x v="1"/>
    <n v="19233"/>
  </r>
  <r>
    <x v="10"/>
    <n v="123575209"/>
    <x v="44"/>
    <x v="3"/>
    <x v="0"/>
    <s v="DEF232"/>
    <s v="Dr. Lily James"/>
    <x v="1"/>
    <x v="1"/>
    <n v="0.93"/>
    <x v="7"/>
    <x v="0"/>
    <s v="Basic"/>
    <x v="0"/>
    <x v="1"/>
    <n v="3"/>
    <n v="2"/>
    <x v="0"/>
    <d v="1899-12-30T09:08:00"/>
    <x v="0"/>
    <n v="97916"/>
  </r>
  <r>
    <x v="6"/>
    <n v="123842009"/>
    <x v="36"/>
    <x v="4"/>
    <x v="1"/>
    <s v="VBN123"/>
    <s v="Dr. Peter Novak"/>
    <x v="0"/>
    <x v="0"/>
    <n v="1.0820000000000001"/>
    <x v="4"/>
    <x v="1"/>
    <s v="NC-Blue"/>
    <x v="0"/>
    <x v="1"/>
    <n v="4"/>
    <n v="1"/>
    <x v="0"/>
    <d v="1899-12-30T18:06:00"/>
    <x v="1"/>
    <n v="7155"/>
  </r>
  <r>
    <x v="0"/>
    <n v="123550181"/>
    <x v="28"/>
    <x v="4"/>
    <x v="1"/>
    <s v="ABC123"/>
    <s v="Dr. Shawn Martin"/>
    <x v="0"/>
    <x v="1"/>
    <n v="0.94199999999999995"/>
    <x v="0"/>
    <x v="3"/>
    <s v="TH-Standard"/>
    <x v="0"/>
    <x v="1"/>
    <n v="5"/>
    <n v="1"/>
    <x v="0"/>
    <d v="1899-12-30T18:34:00"/>
    <x v="1"/>
    <n v="23319"/>
  </r>
  <r>
    <x v="9"/>
    <n v="123505896"/>
    <x v="32"/>
    <x v="10"/>
    <x v="0"/>
    <s v="QWE234"/>
    <s v="Dr. Aisha Rahman"/>
    <x v="1"/>
    <x v="1"/>
    <n v="1.181"/>
    <x v="8"/>
    <x v="0"/>
    <s v="Premium"/>
    <x v="0"/>
    <x v="1"/>
    <n v="6"/>
    <n v="1"/>
    <x v="1"/>
    <d v="1899-12-30T11:44:00"/>
    <x v="0"/>
    <n v="76734"/>
  </r>
  <r>
    <x v="4"/>
    <n v="123751398"/>
    <x v="41"/>
    <x v="4"/>
    <x v="0"/>
    <s v="ABC234"/>
    <s v="Dr. Thomas Muller"/>
    <x v="1"/>
    <x v="1"/>
    <n v="0.93300000000000005"/>
    <x v="1"/>
    <x v="0"/>
    <s v="Basic"/>
    <x v="0"/>
    <x v="0"/>
    <n v="0"/>
    <n v="2"/>
    <x v="0"/>
    <d v="1899-12-30T16:01:00"/>
    <x v="1"/>
    <n v="933"/>
  </r>
  <r>
    <x v="10"/>
    <n v="123594437"/>
    <x v="10"/>
    <x v="1"/>
    <x v="1"/>
    <s v="ABC123"/>
    <s v="Dr. Shawn Martin"/>
    <x v="0"/>
    <x v="1"/>
    <n v="1.002"/>
    <x v="0"/>
    <x v="0"/>
    <s v="Advance"/>
    <x v="0"/>
    <x v="1"/>
    <n v="4"/>
    <n v="1"/>
    <x v="0"/>
    <d v="1899-12-30T21:30:00"/>
    <x v="1"/>
    <n v="108750"/>
  </r>
  <r>
    <x v="2"/>
    <n v="123767392"/>
    <x v="16"/>
    <x v="2"/>
    <x v="1"/>
    <s v="ABC123"/>
    <s v="Dr. Shawn Martin"/>
    <x v="0"/>
    <x v="1"/>
    <n v="1.079"/>
    <x v="0"/>
    <x v="1"/>
    <s v="NC-Gold"/>
    <x v="0"/>
    <x v="1"/>
    <n v="4"/>
    <n v="1"/>
    <x v="1"/>
    <d v="1899-12-30T10:32:00"/>
    <x v="0"/>
    <n v="149242"/>
  </r>
  <r>
    <x v="6"/>
    <n v="123534950"/>
    <x v="36"/>
    <x v="1"/>
    <x v="1"/>
    <s v="VBN123"/>
    <s v="Dr. Peter Novak"/>
    <x v="0"/>
    <x v="1"/>
    <n v="1.1830000000000001"/>
    <x v="4"/>
    <x v="3"/>
    <s v="TH-Plus"/>
    <x v="0"/>
    <x v="2"/>
    <n v="1"/>
    <n v="3"/>
    <x v="1"/>
    <d v="1899-12-30T11:57:00"/>
    <x v="0"/>
    <n v="6419"/>
  </r>
  <r>
    <x v="5"/>
    <n v="123619930"/>
    <x v="4"/>
    <x v="3"/>
    <x v="0"/>
    <s v="QWE234"/>
    <s v="Dr. Aisha Rahman"/>
    <x v="1"/>
    <x v="0"/>
    <n v="0.85"/>
    <x v="8"/>
    <x v="0"/>
    <s v="Premium"/>
    <x v="0"/>
    <x v="1"/>
    <n v="4"/>
    <n v="1"/>
    <x v="0"/>
    <d v="1899-12-30T15:08:00"/>
    <x v="1"/>
    <n v="67805"/>
  </r>
  <r>
    <x v="2"/>
    <n v="123770440"/>
    <x v="10"/>
    <x v="3"/>
    <x v="1"/>
    <s v="VBN123"/>
    <s v="Dr. Peter Novak"/>
    <x v="0"/>
    <x v="0"/>
    <n v="1.1599999999999999"/>
    <x v="4"/>
    <x v="2"/>
    <s v="GH-2"/>
    <x v="0"/>
    <x v="2"/>
    <n v="1"/>
    <n v="1"/>
    <x v="1"/>
    <d v="1899-12-30T10:23:00"/>
    <x v="0"/>
    <n v="3155"/>
  </r>
  <r>
    <x v="0"/>
    <n v="123748425"/>
    <x v="43"/>
    <x v="8"/>
    <x v="0"/>
    <s v="QWE234"/>
    <s v="Dr. Aisha Rahman"/>
    <x v="1"/>
    <x v="1"/>
    <n v="0.97599999999999998"/>
    <x v="8"/>
    <x v="0"/>
    <s v="Advance"/>
    <x v="0"/>
    <x v="0"/>
    <n v="0"/>
    <n v="1"/>
    <x v="0"/>
    <d v="1899-12-30T07:58:00"/>
    <x v="0"/>
    <n v="508"/>
  </r>
  <r>
    <x v="5"/>
    <n v="123596075"/>
    <x v="18"/>
    <x v="12"/>
    <x v="0"/>
    <s v="QWE234"/>
    <s v="Dr. Aisha Rahman"/>
    <x v="1"/>
    <x v="0"/>
    <n v="0.98299999999999998"/>
    <x v="8"/>
    <x v="1"/>
    <s v="NC-Blue"/>
    <x v="0"/>
    <x v="0"/>
    <n v="0"/>
    <n v="2"/>
    <x v="1"/>
    <d v="1899-12-30T10:51:00"/>
    <x v="0"/>
    <n v="1467"/>
  </r>
  <r>
    <x v="4"/>
    <n v="123536750"/>
    <x v="6"/>
    <x v="3"/>
    <x v="0"/>
    <s v="ABC123"/>
    <s v="Dr. Shawn Martin"/>
    <x v="0"/>
    <x v="1"/>
    <n v="0.82399999999999995"/>
    <x v="0"/>
    <x v="0"/>
    <s v="Advance"/>
    <x v="0"/>
    <x v="1"/>
    <n v="4"/>
    <n v="1"/>
    <x v="0"/>
    <d v="1899-12-30T10:33:00"/>
    <x v="0"/>
    <n v="27872"/>
  </r>
  <r>
    <x v="1"/>
    <n v="123713947"/>
    <x v="24"/>
    <x v="9"/>
    <x v="1"/>
    <s v="DEF232"/>
    <s v="Dr. Lily James"/>
    <x v="1"/>
    <x v="1"/>
    <n v="0.98399999999999999"/>
    <x v="7"/>
    <x v="0"/>
    <s v="Premium"/>
    <x v="0"/>
    <x v="1"/>
    <n v="2"/>
    <n v="3"/>
    <x v="0"/>
    <d v="1899-12-30T11:04:00"/>
    <x v="0"/>
    <n v="20053"/>
  </r>
  <r>
    <x v="6"/>
    <n v="123526358"/>
    <x v="11"/>
    <x v="6"/>
    <x v="0"/>
    <s v="ABC234"/>
    <s v="Dr. Thomas Muller"/>
    <x v="1"/>
    <x v="0"/>
    <n v="0.98599999999999999"/>
    <x v="1"/>
    <x v="2"/>
    <s v="GH-1"/>
    <x v="0"/>
    <x v="0"/>
    <n v="0"/>
    <n v="2"/>
    <x v="0"/>
    <d v="1899-12-30T21:44:00"/>
    <x v="1"/>
    <n v="395"/>
  </r>
  <r>
    <x v="11"/>
    <n v="123520854"/>
    <x v="19"/>
    <x v="12"/>
    <x v="0"/>
    <s v="FGH234"/>
    <s v="Dr. Hana Suzuki"/>
    <x v="0"/>
    <x v="1"/>
    <n v="0.95199999999999996"/>
    <x v="5"/>
    <x v="3"/>
    <s v="TH-Plus"/>
    <x v="0"/>
    <x v="1"/>
    <n v="4"/>
    <n v="2"/>
    <x v="0"/>
    <d v="1899-12-30T06:51:00"/>
    <x v="0"/>
    <n v="19358"/>
  </r>
  <r>
    <x v="10"/>
    <n v="123985531"/>
    <x v="1"/>
    <x v="1"/>
    <x v="1"/>
    <s v="ABC234"/>
    <s v="Dr. Thomas Muller"/>
    <x v="1"/>
    <x v="1"/>
    <n v="1.0489999999999999"/>
    <x v="1"/>
    <x v="0"/>
    <s v="Advance"/>
    <x v="0"/>
    <x v="0"/>
    <n v="0"/>
    <n v="2"/>
    <x v="0"/>
    <d v="1899-12-30T10:28:00"/>
    <x v="0"/>
    <n v="769"/>
  </r>
  <r>
    <x v="6"/>
    <n v="123971630"/>
    <x v="1"/>
    <x v="12"/>
    <x v="1"/>
    <s v="FGH123"/>
    <s v="Dr. Sofia Kim"/>
    <x v="2"/>
    <x v="1"/>
    <n v="1.1579999999999999"/>
    <x v="9"/>
    <x v="0"/>
    <s v="Advance"/>
    <x v="0"/>
    <x v="1"/>
    <n v="6"/>
    <n v="1"/>
    <x v="0"/>
    <d v="1899-12-30T06:41:00"/>
    <x v="0"/>
    <n v="57806"/>
  </r>
  <r>
    <x v="4"/>
    <n v="123506814"/>
    <x v="36"/>
    <x v="7"/>
    <x v="0"/>
    <s v="DEF232"/>
    <s v="Dr. Lily James"/>
    <x v="1"/>
    <x v="1"/>
    <n v="1.0920000000000001"/>
    <x v="7"/>
    <x v="1"/>
    <s v="NC-Gold"/>
    <x v="0"/>
    <x v="0"/>
    <n v="0"/>
    <n v="2"/>
    <x v="0"/>
    <d v="1899-12-30T07:18:00"/>
    <x v="0"/>
    <n v="442"/>
  </r>
  <r>
    <x v="4"/>
    <n v="123621758"/>
    <x v="15"/>
    <x v="3"/>
    <x v="1"/>
    <s v="VBN123"/>
    <s v="Dr. Peter Novak"/>
    <x v="0"/>
    <x v="1"/>
    <n v="0.93"/>
    <x v="4"/>
    <x v="2"/>
    <s v="GH-2"/>
    <x v="0"/>
    <x v="2"/>
    <n v="1"/>
    <n v="1"/>
    <x v="0"/>
    <d v="1899-12-30T06:52:00"/>
    <x v="0"/>
    <n v="5187"/>
  </r>
  <r>
    <x v="0"/>
    <n v="123674026"/>
    <x v="36"/>
    <x v="13"/>
    <x v="1"/>
    <s v="DEF232"/>
    <s v="Dr. Lily James"/>
    <x v="1"/>
    <x v="0"/>
    <n v="0.96399999999999997"/>
    <x v="7"/>
    <x v="3"/>
    <s v="TH-Standard"/>
    <x v="0"/>
    <x v="2"/>
    <n v="1"/>
    <n v="2"/>
    <x v="1"/>
    <d v="1899-12-30T07:42:00"/>
    <x v="0"/>
    <n v="6262"/>
  </r>
  <r>
    <x v="11"/>
    <n v="123801237"/>
    <x v="29"/>
    <x v="1"/>
    <x v="1"/>
    <s v="ABC123"/>
    <s v="Dr. Shawn Martin"/>
    <x v="0"/>
    <x v="0"/>
    <n v="1.022"/>
    <x v="0"/>
    <x v="0"/>
    <s v="Premium"/>
    <x v="0"/>
    <x v="2"/>
    <n v="1"/>
    <n v="3"/>
    <x v="1"/>
    <d v="1899-12-30T15:07:00"/>
    <x v="1"/>
    <n v="7790"/>
  </r>
  <r>
    <x v="0"/>
    <n v="123680024"/>
    <x v="49"/>
    <x v="6"/>
    <x v="0"/>
    <s v="ABC456"/>
    <s v="Dr. Ahmed Zayed"/>
    <x v="1"/>
    <x v="1"/>
    <n v="1.089"/>
    <x v="2"/>
    <x v="0"/>
    <s v="Advance"/>
    <x v="0"/>
    <x v="0"/>
    <n v="0"/>
    <n v="2"/>
    <x v="0"/>
    <d v="1899-12-30T06:55:00"/>
    <x v="0"/>
    <n v="1476"/>
  </r>
  <r>
    <x v="2"/>
    <n v="123913021"/>
    <x v="5"/>
    <x v="1"/>
    <x v="1"/>
    <s v="ABC123"/>
    <s v="Dr. Shawn Martin"/>
    <x v="0"/>
    <x v="1"/>
    <n v="0.997"/>
    <x v="0"/>
    <x v="1"/>
    <s v="NC-Gold"/>
    <x v="0"/>
    <x v="1"/>
    <n v="5"/>
    <n v="2"/>
    <x v="0"/>
    <d v="1899-12-30T20:54:00"/>
    <x v="1"/>
    <n v="69454"/>
  </r>
  <r>
    <x v="3"/>
    <n v="123956727"/>
    <x v="45"/>
    <x v="13"/>
    <x v="1"/>
    <s v="QWE234"/>
    <s v="Dr. Aisha Rahman"/>
    <x v="1"/>
    <x v="1"/>
    <n v="0.97"/>
    <x v="8"/>
    <x v="0"/>
    <s v="Basic"/>
    <x v="0"/>
    <x v="0"/>
    <n v="0"/>
    <n v="3"/>
    <x v="0"/>
    <d v="1899-12-30T08:18:00"/>
    <x v="0"/>
    <n v="928"/>
  </r>
  <r>
    <x v="4"/>
    <n v="123475616"/>
    <x v="41"/>
    <x v="4"/>
    <x v="1"/>
    <s v="DEF232"/>
    <s v="Dr. Lily James"/>
    <x v="1"/>
    <x v="0"/>
    <n v="0.86099999999999999"/>
    <x v="7"/>
    <x v="3"/>
    <s v="TH-Plus"/>
    <x v="0"/>
    <x v="0"/>
    <n v="0"/>
    <n v="1"/>
    <x v="0"/>
    <d v="1899-12-30T11:17:00"/>
    <x v="0"/>
    <n v="389"/>
  </r>
  <r>
    <x v="2"/>
    <n v="123618476"/>
    <x v="41"/>
    <x v="5"/>
    <x v="1"/>
    <s v="FGH234"/>
    <s v="Dr. Hana Suzuki"/>
    <x v="0"/>
    <x v="1"/>
    <n v="0.998"/>
    <x v="5"/>
    <x v="0"/>
    <s v="Advance"/>
    <x v="0"/>
    <x v="2"/>
    <n v="1"/>
    <n v="2"/>
    <x v="1"/>
    <d v="1899-12-30T18:12:00"/>
    <x v="1"/>
    <n v="4945"/>
  </r>
  <r>
    <x v="11"/>
    <n v="123646872"/>
    <x v="22"/>
    <x v="4"/>
    <x v="0"/>
    <s v="VBN123"/>
    <s v="Dr. Peter Novak"/>
    <x v="0"/>
    <x v="0"/>
    <n v="1.0589999999999999"/>
    <x v="4"/>
    <x v="3"/>
    <s v="TH-Standard"/>
    <x v="0"/>
    <x v="0"/>
    <n v="0"/>
    <n v="2"/>
    <x v="0"/>
    <d v="1899-12-30T20:30:00"/>
    <x v="1"/>
    <n v="654"/>
  </r>
  <r>
    <x v="0"/>
    <n v="123763779"/>
    <x v="38"/>
    <x v="10"/>
    <x v="1"/>
    <s v="HJK123"/>
    <s v="Dr. Priya Iyer"/>
    <x v="1"/>
    <x v="1"/>
    <n v="1.1919999999999999"/>
    <x v="6"/>
    <x v="3"/>
    <s v="TH-Plus"/>
    <x v="0"/>
    <x v="1"/>
    <n v="4"/>
    <n v="2"/>
    <x v="1"/>
    <d v="1899-12-30T10:00:00"/>
    <x v="0"/>
    <n v="102342"/>
  </r>
  <r>
    <x v="5"/>
    <n v="123837888"/>
    <x v="0"/>
    <x v="4"/>
    <x v="1"/>
    <s v="ABC234"/>
    <s v="Dr. Thomas Muller"/>
    <x v="1"/>
    <x v="1"/>
    <n v="0.95099999999999996"/>
    <x v="1"/>
    <x v="0"/>
    <s v="Advance"/>
    <x v="0"/>
    <x v="0"/>
    <n v="0"/>
    <n v="2"/>
    <x v="0"/>
    <d v="1899-12-30T14:17:00"/>
    <x v="1"/>
    <n v="1905"/>
  </r>
  <r>
    <x v="6"/>
    <n v="123628020"/>
    <x v="40"/>
    <x v="8"/>
    <x v="0"/>
    <s v="QWE234"/>
    <s v="Dr. Aisha Rahman"/>
    <x v="1"/>
    <x v="1"/>
    <n v="1.0589999999999999"/>
    <x v="8"/>
    <x v="0"/>
    <s v="Basic"/>
    <x v="0"/>
    <x v="0"/>
    <n v="0"/>
    <n v="3"/>
    <x v="1"/>
    <d v="1899-12-30T06:41:00"/>
    <x v="0"/>
    <n v="483"/>
  </r>
  <r>
    <x v="5"/>
    <n v="123589978"/>
    <x v="12"/>
    <x v="1"/>
    <x v="0"/>
    <s v="DEF232"/>
    <s v="Dr. Lily James"/>
    <x v="1"/>
    <x v="1"/>
    <n v="0.98699999999999999"/>
    <x v="7"/>
    <x v="0"/>
    <s v="Advance"/>
    <x v="0"/>
    <x v="2"/>
    <n v="1"/>
    <n v="3"/>
    <x v="1"/>
    <d v="1899-12-30T18:45:00"/>
    <x v="1"/>
    <n v="6872"/>
  </r>
  <r>
    <x v="11"/>
    <n v="123884362"/>
    <x v="47"/>
    <x v="13"/>
    <x v="1"/>
    <s v="QWE234"/>
    <s v="Dr. Aisha Rahman"/>
    <x v="1"/>
    <x v="1"/>
    <n v="1.0469999999999999"/>
    <x v="8"/>
    <x v="0"/>
    <s v="Premium"/>
    <x v="0"/>
    <x v="2"/>
    <n v="1"/>
    <n v="1"/>
    <x v="1"/>
    <d v="1899-12-30T08:26:00"/>
    <x v="0"/>
    <n v="2684"/>
  </r>
  <r>
    <x v="4"/>
    <n v="123642429"/>
    <x v="20"/>
    <x v="10"/>
    <x v="1"/>
    <s v="HJK123"/>
    <s v="Dr. Priya Iyer"/>
    <x v="1"/>
    <x v="1"/>
    <n v="1.0029999999999999"/>
    <x v="6"/>
    <x v="3"/>
    <s v="TH-Plus"/>
    <x v="0"/>
    <x v="2"/>
    <n v="1"/>
    <n v="1"/>
    <x v="0"/>
    <d v="1899-12-30T19:24:00"/>
    <x v="1"/>
    <n v="4985"/>
  </r>
  <r>
    <x v="8"/>
    <n v="123754733"/>
    <x v="25"/>
    <x v="5"/>
    <x v="0"/>
    <s v="HJK123"/>
    <s v="Dr. Priya Iyer"/>
    <x v="1"/>
    <x v="1"/>
    <n v="1.07"/>
    <x v="6"/>
    <x v="3"/>
    <s v="TH-Standard"/>
    <x v="0"/>
    <x v="0"/>
    <n v="0"/>
    <n v="1"/>
    <x v="1"/>
    <d v="1899-12-30T19:52:00"/>
    <x v="1"/>
    <n v="401"/>
  </r>
  <r>
    <x v="5"/>
    <n v="123563153"/>
    <x v="29"/>
    <x v="1"/>
    <x v="1"/>
    <s v="ABC234"/>
    <s v="Dr. Thomas Muller"/>
    <x v="1"/>
    <x v="0"/>
    <n v="1.071"/>
    <x v="1"/>
    <x v="3"/>
    <s v="TH-Standard"/>
    <x v="0"/>
    <x v="0"/>
    <n v="0"/>
    <n v="2"/>
    <x v="1"/>
    <d v="1899-12-30T11:17:00"/>
    <x v="0"/>
    <n v="1718"/>
  </r>
  <r>
    <x v="11"/>
    <n v="123690691"/>
    <x v="44"/>
    <x v="10"/>
    <x v="1"/>
    <s v="QWE234"/>
    <s v="Dr. Aisha Rahman"/>
    <x v="1"/>
    <x v="1"/>
    <n v="0.88600000000000001"/>
    <x v="8"/>
    <x v="1"/>
    <s v="NC-Gold"/>
    <x v="0"/>
    <x v="0"/>
    <n v="0"/>
    <n v="3"/>
    <x v="0"/>
    <d v="1899-12-30T14:26:00"/>
    <x v="1"/>
    <n v="14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E0EA82-401C-460D-9597-BE1EB0016C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Insurance ">
  <location ref="A17:B21" firstHeaderRow="1" firstDataRow="1" firstDataCol="1"/>
  <pivotFields count="22">
    <pivotField numFmtId="14" showAll="0"/>
    <pivotField showAll="0"/>
    <pivotField showAll="0"/>
    <pivotField showAll="0"/>
    <pivotField showAll="0"/>
    <pivotField showAll="0"/>
    <pivotField showAll="0"/>
    <pivotField showAll="0">
      <items count="4">
        <item h="1" x="0"/>
        <item h="1" x="2"/>
        <item x="1"/>
        <item t="default"/>
      </items>
    </pivotField>
    <pivotField showAll="0">
      <items count="3">
        <item h="1" x="1"/>
        <item x="0"/>
        <item t="default"/>
      </items>
    </pivotField>
    <pivotField showAll="0"/>
    <pivotField showAll="0">
      <items count="11">
        <item x="7"/>
        <item x="0"/>
        <item x="3"/>
        <item x="2"/>
        <item x="5"/>
        <item x="9"/>
        <item x="1"/>
        <item x="6"/>
        <item x="4"/>
        <item x="8"/>
        <item t="default"/>
      </items>
    </pivotField>
    <pivotField axis="axisRow" showAll="0">
      <items count="5">
        <item x="2"/>
        <item x="1"/>
        <item x="0"/>
        <item x="3"/>
        <item t="default"/>
      </items>
    </pivotField>
    <pivotField showAll="0"/>
    <pivotField showAll="0"/>
    <pivotField showAll="0">
      <items count="4">
        <item h="1" x="2"/>
        <item h="1" x="1"/>
        <item x="0"/>
        <item t="default"/>
      </items>
    </pivotField>
    <pivotField showAll="0"/>
    <pivotField showAll="0"/>
    <pivotField showAll="0">
      <items count="3">
        <item x="0"/>
        <item h="1" x="1"/>
        <item t="default"/>
      </items>
    </pivotField>
    <pivotField numFmtId="164" showAll="0"/>
    <pivotField showAll="0"/>
    <pivotField dataField="1" showAll="0"/>
    <pivotField showAll="0" defaultSubtotal="0"/>
  </pivotFields>
  <rowFields count="1">
    <field x="11"/>
  </rowFields>
  <rowItems count="4">
    <i>
      <x/>
    </i>
    <i>
      <x v="2"/>
    </i>
    <i>
      <x v="3"/>
    </i>
    <i t="grand">
      <x/>
    </i>
  </rowItems>
  <colItems count="1">
    <i/>
  </colItems>
  <dataFields count="1">
    <dataField name="Sum of Revenue" fld="2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1" count="1" selected="0">
            <x v="0"/>
          </reference>
        </references>
      </pivotArea>
    </chartFormat>
    <chartFormat chart="11" format="12">
      <pivotArea type="data" outline="0" fieldPosition="0">
        <references count="2">
          <reference field="4294967294" count="1" selected="0">
            <x v="0"/>
          </reference>
          <reference field="11" count="1" selected="0">
            <x v="1"/>
          </reference>
        </references>
      </pivotArea>
    </chartFormat>
    <chartFormat chart="11" format="13">
      <pivotArea type="data" outline="0" fieldPosition="0">
        <references count="2">
          <reference field="4294967294" count="1" selected="0">
            <x v="0"/>
          </reference>
          <reference field="11" count="1" selected="0">
            <x v="2"/>
          </reference>
        </references>
      </pivotArea>
    </chartFormat>
    <chartFormat chart="11"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BEAA5B-8E61-4D36-A2B9-07C3BEB9B20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1:C82" firstHeaderRow="1" firstDataRow="1" firstDataCol="0"/>
  <pivotFields count="22">
    <pivotField numFmtId="14" showAll="0"/>
    <pivotField showAll="0"/>
    <pivotField showAll="0"/>
    <pivotField showAll="0"/>
    <pivotField showAll="0"/>
    <pivotField showAll="0"/>
    <pivotField showAll="0"/>
    <pivotField showAll="0">
      <items count="4">
        <item h="1" x="0"/>
        <item h="1" x="2"/>
        <item x="1"/>
        <item t="default"/>
      </items>
    </pivotField>
    <pivotField showAll="0">
      <items count="3">
        <item h="1" x="1"/>
        <item x="0"/>
        <item t="default"/>
      </items>
    </pivotField>
    <pivotField dataField="1" showAll="0"/>
    <pivotField showAll="0"/>
    <pivotField showAll="0"/>
    <pivotField showAll="0"/>
    <pivotField showAll="0"/>
    <pivotField showAll="0">
      <items count="4">
        <item h="1" x="2"/>
        <item h="1" x="1"/>
        <item x="0"/>
        <item t="default"/>
      </items>
    </pivotField>
    <pivotField showAll="0"/>
    <pivotField showAll="0"/>
    <pivotField showAll="0">
      <items count="3">
        <item x="0"/>
        <item h="1" x="1"/>
        <item t="default"/>
      </items>
    </pivotField>
    <pivotField numFmtId="164" showAll="0"/>
    <pivotField showAll="0"/>
    <pivotField showAll="0"/>
    <pivotField showAll="0" defaultSubtotal="0"/>
  </pivotFields>
  <rowItems count="1">
    <i/>
  </rowItems>
  <colItems count="1">
    <i/>
  </colItems>
  <dataFields count="1">
    <dataField name="Average of CMI Valu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26E555-AEBE-4159-AEB3-88DB386C35E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octor type ">
  <location ref="A88:B92" firstHeaderRow="1" firstDataRow="1" firstDataCol="1"/>
  <pivotFields count="22">
    <pivotField numFmtId="14" showAll="0"/>
    <pivotField showAll="0"/>
    <pivotField showAll="0"/>
    <pivotField showAll="0"/>
    <pivotField showAll="0">
      <items count="3">
        <item x="0"/>
        <item x="1"/>
        <item t="default"/>
      </items>
    </pivotField>
    <pivotField showAll="0"/>
    <pivotField showAll="0"/>
    <pivotField axis="axisRow" showAll="0">
      <items count="4">
        <item x="0"/>
        <item x="2"/>
        <item x="1"/>
        <item t="default"/>
      </items>
    </pivotField>
    <pivotField showAll="0">
      <items count="3">
        <item h="1" x="1"/>
        <item x="0"/>
        <item t="default"/>
      </items>
    </pivotField>
    <pivotField showAll="0"/>
    <pivotField showAll="0"/>
    <pivotField showAll="0"/>
    <pivotField showAll="0"/>
    <pivotField showAll="0"/>
    <pivotField showAll="0"/>
    <pivotField showAll="0"/>
    <pivotField dataField="1" showAll="0"/>
    <pivotField showAll="0">
      <items count="3">
        <item x="0"/>
        <item x="1"/>
        <item t="default"/>
      </items>
    </pivotField>
    <pivotField numFmtId="164" showAll="0"/>
    <pivotField showAll="0"/>
    <pivotField showAll="0"/>
    <pivotField showAll="0" defaultSubtotal="0"/>
  </pivotFields>
  <rowFields count="1">
    <field x="7"/>
  </rowFields>
  <rowItems count="4">
    <i>
      <x/>
    </i>
    <i>
      <x v="1"/>
    </i>
    <i>
      <x v="2"/>
    </i>
    <i t="grand">
      <x/>
    </i>
  </rowItems>
  <colItems count="1">
    <i/>
  </colItems>
  <dataFields count="1">
    <dataField name="Average of Severity" fld="16" subtotal="average" baseField="7"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36845F-61DF-4E52-A9A6-8FBEC3D1C2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onth ">
  <location ref="A2:B10" firstHeaderRow="1" firstDataRow="1" firstDataCol="1"/>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items count="4">
        <item h="1" x="0"/>
        <item h="1" x="2"/>
        <item x="1"/>
        <item t="default"/>
      </items>
    </pivotField>
    <pivotField showAll="0">
      <items count="3">
        <item h="1" x="1"/>
        <item x="0"/>
        <item t="default"/>
      </items>
    </pivotField>
    <pivotField showAll="0"/>
    <pivotField showAll="0"/>
    <pivotField showAll="0"/>
    <pivotField showAll="0"/>
    <pivotField showAll="0"/>
    <pivotField showAll="0">
      <items count="4">
        <item h="1" x="2"/>
        <item h="1" x="1"/>
        <item x="0"/>
        <item t="default"/>
      </items>
    </pivotField>
    <pivotField showAll="0"/>
    <pivotField showAll="0"/>
    <pivotField showAll="0">
      <items count="3">
        <item x="0"/>
        <item h="1" x="1"/>
        <item t="default"/>
      </items>
    </pivotField>
    <pivotField numFmtId="164"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8">
    <i>
      <x v="2"/>
    </i>
    <i>
      <x v="5"/>
    </i>
    <i>
      <x v="7"/>
    </i>
    <i>
      <x v="8"/>
    </i>
    <i>
      <x v="9"/>
    </i>
    <i>
      <x v="10"/>
    </i>
    <i>
      <x v="12"/>
    </i>
    <i t="grand">
      <x/>
    </i>
  </rowItems>
  <colItems count="1">
    <i/>
  </colItems>
  <dataFields count="1">
    <dataField name="Sum of Revenue" fld="20" baseField="0" baseItem="0"/>
  </dataFields>
  <chartFormats count="4">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1" count="1" selected="0">
            <x v="11"/>
          </reference>
        </references>
      </pivotArea>
    </chartFormat>
    <chartFormat chart="15" format="4">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D8E250-8760-4DC6-BC28-016581A6709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A82" firstHeaderRow="1" firstDataRow="1" firstDataCol="0"/>
  <pivotFields count="22">
    <pivotField numFmtId="14" showAll="0"/>
    <pivotField dataField="1" showAll="0"/>
    <pivotField showAll="0"/>
    <pivotField showAll="0"/>
    <pivotField showAll="0"/>
    <pivotField showAll="0"/>
    <pivotField showAll="0"/>
    <pivotField showAll="0">
      <items count="4">
        <item h="1" x="0"/>
        <item h="1" x="2"/>
        <item x="1"/>
        <item t="default"/>
      </items>
    </pivotField>
    <pivotField showAll="0">
      <items count="3">
        <item h="1" x="1"/>
        <item x="0"/>
        <item t="default"/>
      </items>
    </pivotField>
    <pivotField showAll="0"/>
    <pivotField showAll="0"/>
    <pivotField showAll="0"/>
    <pivotField showAll="0"/>
    <pivotField showAll="0"/>
    <pivotField showAll="0">
      <items count="4">
        <item h="1" x="2"/>
        <item h="1" x="1"/>
        <item x="0"/>
        <item t="default"/>
      </items>
    </pivotField>
    <pivotField showAll="0"/>
    <pivotField showAll="0"/>
    <pivotField showAll="0">
      <items count="3">
        <item x="0"/>
        <item h="1" x="1"/>
        <item t="default"/>
      </items>
    </pivotField>
    <pivotField numFmtId="164" showAll="0"/>
    <pivotField showAll="0"/>
    <pivotField showAll="0"/>
    <pivotField showAll="0" defaultSubtotal="0"/>
  </pivotFields>
  <rowItems count="1">
    <i/>
  </rowItems>
  <colItems count="1">
    <i/>
  </colItems>
  <dataFields count="1">
    <dataField name="Sum of Case_No" fld="1" baseField="0" baseItem="204890495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F2B89A-C746-4C44-B104-FB7D3EEEEA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Nationality ">
  <location ref="A24:B30" firstHeaderRow="1" firstDataRow="1" firstDataCol="1"/>
  <pivotFields count="22">
    <pivotField numFmtId="14" showAll="0"/>
    <pivotField showAll="0"/>
    <pivotField showAll="0">
      <items count="51">
        <item x="34"/>
        <item x="19"/>
        <item x="3"/>
        <item x="43"/>
        <item x="31"/>
        <item x="26"/>
        <item x="48"/>
        <item x="32"/>
        <item x="23"/>
        <item x="33"/>
        <item x="38"/>
        <item x="15"/>
        <item x="42"/>
        <item x="17"/>
        <item x="41"/>
        <item x="46"/>
        <item x="39"/>
        <item x="6"/>
        <item x="40"/>
        <item x="7"/>
        <item x="44"/>
        <item x="37"/>
        <item x="28"/>
        <item x="5"/>
        <item x="45"/>
        <item x="49"/>
        <item x="22"/>
        <item x="2"/>
        <item x="18"/>
        <item x="24"/>
        <item x="25"/>
        <item x="10"/>
        <item x="20"/>
        <item x="47"/>
        <item x="4"/>
        <item x="9"/>
        <item x="21"/>
        <item x="12"/>
        <item x="13"/>
        <item x="11"/>
        <item x="35"/>
        <item x="14"/>
        <item x="8"/>
        <item x="16"/>
        <item x="1"/>
        <item x="36"/>
        <item x="0"/>
        <item x="27"/>
        <item x="29"/>
        <item x="30"/>
        <item t="default"/>
      </items>
    </pivotField>
    <pivotField axis="axisRow" showAll="0" measureFilter="1">
      <items count="15">
        <item x="8"/>
        <item x="12"/>
        <item x="10"/>
        <item x="7"/>
        <item x="4"/>
        <item x="5"/>
        <item x="11"/>
        <item x="9"/>
        <item x="2"/>
        <item x="0"/>
        <item x="3"/>
        <item x="13"/>
        <item x="1"/>
        <item x="6"/>
        <item t="default"/>
      </items>
    </pivotField>
    <pivotField showAll="0"/>
    <pivotField showAll="0"/>
    <pivotField showAll="0"/>
    <pivotField showAll="0">
      <items count="4">
        <item h="1" x="0"/>
        <item h="1" x="2"/>
        <item x="1"/>
        <item t="default"/>
      </items>
    </pivotField>
    <pivotField showAll="0">
      <items count="3">
        <item h="1" x="1"/>
        <item x="0"/>
        <item t="default"/>
      </items>
    </pivotField>
    <pivotField showAll="0"/>
    <pivotField showAll="0">
      <items count="11">
        <item x="7"/>
        <item x="0"/>
        <item x="3"/>
        <item x="2"/>
        <item x="5"/>
        <item x="9"/>
        <item x="1"/>
        <item x="6"/>
        <item x="4"/>
        <item x="8"/>
        <item t="default"/>
      </items>
    </pivotField>
    <pivotField showAll="0">
      <items count="5">
        <item x="2"/>
        <item x="1"/>
        <item x="0"/>
        <item x="3"/>
        <item t="default"/>
      </items>
    </pivotField>
    <pivotField showAll="0"/>
    <pivotField showAll="0"/>
    <pivotField showAll="0">
      <items count="4">
        <item h="1" x="2"/>
        <item h="1" x="1"/>
        <item x="0"/>
        <item t="default"/>
      </items>
    </pivotField>
    <pivotField showAll="0"/>
    <pivotField dataField="1" showAll="0"/>
    <pivotField showAll="0">
      <items count="3">
        <item x="0"/>
        <item h="1" x="1"/>
        <item t="default"/>
      </items>
    </pivotField>
    <pivotField numFmtId="164" showAll="0"/>
    <pivotField showAll="0"/>
    <pivotField showAll="0"/>
    <pivotField showAll="0" defaultSubtotal="0"/>
  </pivotFields>
  <rowFields count="1">
    <field x="3"/>
  </rowFields>
  <rowItems count="6">
    <i>
      <x v="4"/>
    </i>
    <i>
      <x v="5"/>
    </i>
    <i>
      <x v="9"/>
    </i>
    <i>
      <x v="12"/>
    </i>
    <i>
      <x v="13"/>
    </i>
    <i t="grand">
      <x/>
    </i>
  </rowItems>
  <colItems count="1">
    <i/>
  </colItems>
  <dataFields count="1">
    <dataField name="Sum of Severity" fld="16" baseField="0" baseItem="0"/>
  </dataFields>
  <chartFormats count="2">
    <chartFormat chart="15"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86DD5B-4AE7-4CC1-AACB-C66D0AEE3AB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pecialty">
  <location ref="A68:B76" firstHeaderRow="1" firstDataRow="1" firstDataCol="1"/>
  <pivotFields count="22">
    <pivotField numFmtId="14" showAll="0"/>
    <pivotField showAll="0"/>
    <pivotField showAll="0"/>
    <pivotField showAll="0"/>
    <pivotField showAll="0"/>
    <pivotField showAll="0"/>
    <pivotField showAll="0"/>
    <pivotField showAll="0">
      <items count="4">
        <item h="1" x="0"/>
        <item h="1" x="2"/>
        <item x="1"/>
        <item t="default"/>
      </items>
    </pivotField>
    <pivotField showAll="0">
      <items count="3">
        <item h="1" x="1"/>
        <item x="0"/>
        <item t="default"/>
      </items>
    </pivotField>
    <pivotField showAll="0"/>
    <pivotField axis="axisRow" showAll="0" sortType="ascending">
      <items count="11">
        <item x="7"/>
        <item x="0"/>
        <item x="3"/>
        <item x="2"/>
        <item x="5"/>
        <item x="9"/>
        <item x="1"/>
        <item x="6"/>
        <item x="4"/>
        <item x="8"/>
        <item t="default"/>
      </items>
    </pivotField>
    <pivotField showAll="0"/>
    <pivotField showAll="0"/>
    <pivotField showAll="0"/>
    <pivotField showAll="0">
      <items count="4">
        <item h="1" x="2"/>
        <item h="1" x="1"/>
        <item x="0"/>
        <item t="default"/>
      </items>
    </pivotField>
    <pivotField showAll="0"/>
    <pivotField showAll="0"/>
    <pivotField showAll="0">
      <items count="3">
        <item x="0"/>
        <item h="1" x="1"/>
        <item t="default"/>
      </items>
    </pivotField>
    <pivotField numFmtId="164" showAll="0"/>
    <pivotField showAll="0"/>
    <pivotField dataField="1" showAll="0"/>
    <pivotField showAll="0" defaultSubtotal="0"/>
  </pivotFields>
  <rowFields count="1">
    <field x="10"/>
  </rowFields>
  <rowItems count="8">
    <i>
      <x/>
    </i>
    <i>
      <x v="1"/>
    </i>
    <i>
      <x v="2"/>
    </i>
    <i>
      <x v="6"/>
    </i>
    <i>
      <x v="7"/>
    </i>
    <i>
      <x v="8"/>
    </i>
    <i>
      <x v="9"/>
    </i>
    <i t="grand">
      <x/>
    </i>
  </rowItems>
  <colItems count="1">
    <i/>
  </colItems>
  <dataFields count="1">
    <dataField name="Sum of Revenue" fld="20" baseField="0" baseItem="0"/>
  </dataFields>
  <chartFormats count="2">
    <chartFormat chart="3" format="7"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220EC1-E8C4-490F-B7E1-B4B4876509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pecialty">
  <location ref="A41:B49" firstHeaderRow="1" firstDataRow="1" firstDataCol="1"/>
  <pivotFields count="22">
    <pivotField numFmtId="14" showAll="0"/>
    <pivotField showAll="0"/>
    <pivotField showAll="0">
      <items count="51">
        <item x="34"/>
        <item x="19"/>
        <item x="3"/>
        <item x="43"/>
        <item x="31"/>
        <item x="26"/>
        <item x="48"/>
        <item x="32"/>
        <item x="23"/>
        <item x="33"/>
        <item x="38"/>
        <item x="15"/>
        <item x="42"/>
        <item x="17"/>
        <item x="41"/>
        <item x="46"/>
        <item x="39"/>
        <item x="6"/>
        <item x="40"/>
        <item x="7"/>
        <item x="44"/>
        <item x="37"/>
        <item x="28"/>
        <item x="5"/>
        <item x="45"/>
        <item x="49"/>
        <item x="22"/>
        <item x="2"/>
        <item x="18"/>
        <item x="24"/>
        <item x="25"/>
        <item x="10"/>
        <item x="20"/>
        <item x="47"/>
        <item x="4"/>
        <item x="9"/>
        <item x="21"/>
        <item x="12"/>
        <item x="13"/>
        <item x="11"/>
        <item x="35"/>
        <item x="14"/>
        <item x="8"/>
        <item x="16"/>
        <item x="1"/>
        <item x="36"/>
        <item x="0"/>
        <item x="27"/>
        <item x="29"/>
        <item x="30"/>
        <item t="default"/>
      </items>
    </pivotField>
    <pivotField showAll="0"/>
    <pivotField showAll="0"/>
    <pivotField showAll="0"/>
    <pivotField showAll="0"/>
    <pivotField showAll="0">
      <items count="4">
        <item h="1" x="0"/>
        <item h="1" x="2"/>
        <item x="1"/>
        <item t="default"/>
      </items>
    </pivotField>
    <pivotField showAll="0">
      <items count="3">
        <item h="1" x="1"/>
        <item x="0"/>
        <item t="default"/>
      </items>
    </pivotField>
    <pivotField dataField="1" showAll="0"/>
    <pivotField axis="axisRow" showAll="0">
      <items count="11">
        <item x="7"/>
        <item x="0"/>
        <item x="3"/>
        <item x="2"/>
        <item x="5"/>
        <item x="9"/>
        <item x="1"/>
        <item x="6"/>
        <item x="4"/>
        <item x="8"/>
        <item t="default"/>
      </items>
    </pivotField>
    <pivotField showAll="0"/>
    <pivotField showAll="0"/>
    <pivotField showAll="0"/>
    <pivotField showAll="0">
      <items count="4">
        <item h="1" x="2"/>
        <item h="1" x="1"/>
        <item x="0"/>
        <item t="default"/>
      </items>
    </pivotField>
    <pivotField showAll="0"/>
    <pivotField showAll="0"/>
    <pivotField showAll="0">
      <items count="3">
        <item x="0"/>
        <item h="1" x="1"/>
        <item t="default"/>
      </items>
    </pivotField>
    <pivotField numFmtId="164" showAll="0"/>
    <pivotField showAll="0"/>
    <pivotField showAll="0"/>
    <pivotField showAll="0" defaultSubtotal="0"/>
  </pivotFields>
  <rowFields count="1">
    <field x="10"/>
  </rowFields>
  <rowItems count="8">
    <i>
      <x/>
    </i>
    <i>
      <x v="1"/>
    </i>
    <i>
      <x v="2"/>
    </i>
    <i>
      <x v="6"/>
    </i>
    <i>
      <x v="7"/>
    </i>
    <i>
      <x v="8"/>
    </i>
    <i>
      <x v="9"/>
    </i>
    <i t="grand">
      <x/>
    </i>
  </rowItems>
  <colItems count="1">
    <i/>
  </colItems>
  <dataFields count="1">
    <dataField name="Sum of CMI Val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D2E056-2868-4A22-9A6F-5CD3897C8FD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2:I99" firstHeaderRow="1" firstDataRow="1" firstDataCol="0"/>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items count="4">
        <item h="1" x="0"/>
        <item h="1" x="2"/>
        <item x="1"/>
        <item t="default"/>
      </items>
    </pivotField>
    <pivotField showAll="0">
      <items count="3">
        <item h="1" x="1"/>
        <item x="0"/>
        <item t="default"/>
      </items>
    </pivotField>
    <pivotField showAll="0"/>
    <pivotField showAll="0"/>
    <pivotField showAll="0"/>
    <pivotField showAll="0"/>
    <pivotField showAll="0">
      <items count="2">
        <item x="0"/>
        <item t="default"/>
      </items>
    </pivotField>
    <pivotField showAll="0">
      <items count="4">
        <item h="1" x="2"/>
        <item h="1" x="1"/>
        <item x="0"/>
        <item t="default"/>
      </items>
    </pivotField>
    <pivotField showAll="0"/>
    <pivotField showAll="0"/>
    <pivotField showAll="0">
      <items count="3">
        <item x="0"/>
        <item h="1" x="1"/>
        <item t="default"/>
      </items>
    </pivotField>
    <pivotField numFmtId="164" showAll="0"/>
    <pivotField showAll="0">
      <items count="3">
        <item x="1"/>
        <item x="0"/>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76479C-4303-498D-89EB-67A44EC358CF}" autoFormatId="16" applyNumberFormats="0" applyBorderFormats="0" applyFontFormats="0" applyPatternFormats="0" applyAlignmentFormats="0" applyWidthHeightFormats="0">
  <queryTableRefresh nextId="23">
    <queryTableFields count="22">
      <queryTableField id="1" name="Month" tableColumnId="1"/>
      <queryTableField id="2" name="Case_No" tableColumnId="2"/>
      <queryTableField id="3" name="DOB" tableColumnId="3"/>
      <queryTableField id="4" name="Nationality" tableColumnId="4"/>
      <queryTableField id="5" name="Gender" tableColumnId="5"/>
      <queryTableField id="6" name="DoctorLicense" tableColumnId="6"/>
      <queryTableField id="7" name="DoctorName" tableColumnId="7"/>
      <queryTableField id="8" name="Doctor Type" tableColumnId="8"/>
      <queryTableField id="9" name="Doctor Status" tableColumnId="9"/>
      <queryTableField id="10" name="CMI Value" tableColumnId="10"/>
      <queryTableField id="11" name="Specialty" tableColumnId="11"/>
      <queryTableField id="12" name="Insurance/Payer" tableColumnId="12"/>
      <queryTableField id="13" name="InsurancePlanName" tableColumnId="13"/>
      <queryTableField id="14" name="Payer Mix" tableColumnId="14"/>
      <queryTableField id="15" name="Case type" tableColumnId="15"/>
      <queryTableField id="16" name="LOS" tableColumnId="16"/>
      <queryTableField id="17" name="Severity" tableColumnId="17"/>
      <queryTableField id="18" name="Surgical Mix" tableColumnId="18"/>
      <queryTableField id="19" name="Discharge Time" tableColumnId="19"/>
      <queryTableField id="20" name="Discharge Before 12PM" tableColumnId="20"/>
      <queryTableField id="21" name="Revenue" tableColumnId="21"/>
      <queryTableField id="22" name="Month Nam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type" xr10:uid="{D09891D5-A6D4-4742-9DCF-C27E2CE3E81A}" sourceName="Case type">
  <pivotTables>
    <pivotTable tabId="1" name="PivotTable2"/>
    <pivotTable tabId="1" name="PivotTable1"/>
    <pivotTable tabId="1" name="PivotTable11"/>
    <pivotTable tabId="1" name="PivotTable12"/>
    <pivotTable tabId="1" name="PivotTable13"/>
    <pivotTable tabId="1" name="PivotTable16"/>
    <pivotTable tabId="1" name="PivotTable3"/>
    <pivotTable tabId="1" name="PivotTable4"/>
  </pivotTables>
  <data>
    <tabular pivotCacheId="82810">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gical_Mix" xr10:uid="{F55765B2-EC22-4F8A-B8A0-3A660FD5C127}" sourceName="Surgical Mix">
  <pivotTables>
    <pivotTable tabId="1" name="PivotTable2"/>
    <pivotTable tabId="1" name="PivotTable1"/>
    <pivotTable tabId="1" name="PivotTable11"/>
    <pivotTable tabId="1" name="PivotTable12"/>
    <pivotTable tabId="1" name="PivotTable13"/>
    <pivotTable tabId="1" name="PivotTable16"/>
    <pivotTable tabId="1" name="PivotTable3"/>
    <pivotTable tabId="1" name="PivotTable4"/>
  </pivotTables>
  <data>
    <tabular pivotCacheId="82810">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Status" xr10:uid="{E44758CA-29E6-4084-A0D2-E94803017EBC}" sourceName="Doctor Status">
  <pivotTables>
    <pivotTable tabId="1" name="PivotTable2"/>
    <pivotTable tabId="1" name="PivotTable1"/>
    <pivotTable tabId="1" name="PivotTable11"/>
    <pivotTable tabId="1" name="PivotTable12"/>
    <pivotTable tabId="1" name="PivotTable13"/>
    <pivotTable tabId="1" name="PivotTable16"/>
    <pivotTable tabId="1" name="PivotTable3"/>
    <pivotTable tabId="1" name="PivotTable4"/>
    <pivotTable tabId="1" name="PivotTable5"/>
  </pivotTables>
  <data>
    <tabular pivotCacheId="82810">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e type" xr10:uid="{F0FC2913-AB9C-47DF-8191-7A42BD0A6A86}" cache="Slicer_Case_type" caption="Case type" style="SlicerStyleOther1" rowHeight="252000"/>
  <slicer name="Surgical Mix" xr10:uid="{4474E59A-E511-499C-BAC5-C5EB72A6E99E}" cache="Slicer_Surgical_Mix" caption="Surgical Mix" style="SlicerStyleOther1" rowHeight="241300"/>
  <slicer name="Doctor Status" xr10:uid="{6492A5A1-F844-4EF2-B490-F916DC0ED4DD}" cache="Slicer_Doctor_Status" caption="Doctor Status"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54BC4-7C6A-4B00-8749-6B8CAFC42382}" name="dummy_hospital_generated" displayName="dummy_hospital_generated" ref="A1:V224" tableType="queryTable" totalsRowShown="0">
  <autoFilter ref="A1:V224" xr:uid="{CC954BC4-7C6A-4B00-8749-6B8CAFC42382}"/>
  <tableColumns count="22">
    <tableColumn id="1" xr3:uid="{86465216-C6B4-4123-8E4C-DC82CBAA3400}" uniqueName="1" name="Month" queryTableFieldId="1" dataDxfId="15"/>
    <tableColumn id="2" xr3:uid="{F3FEF15E-B8B2-4E9E-A445-39E062C4F499}" uniqueName="2" name="Case_No" queryTableFieldId="2"/>
    <tableColumn id="3" xr3:uid="{95160EEA-2739-4BEB-9C06-E1FBFA4CA3C9}" uniqueName="3" name="DOB" queryTableFieldId="3"/>
    <tableColumn id="4" xr3:uid="{F2B59C53-5DD5-4AD3-BC68-ADAEDB7FC129}" uniqueName="4" name="Nationality" queryTableFieldId="4" dataDxfId="14"/>
    <tableColumn id="5" xr3:uid="{6378FEA3-FB58-4874-AC2A-B62D1B7CE9C8}" uniqueName="5" name="Gender" queryTableFieldId="5" dataDxfId="13"/>
    <tableColumn id="6" xr3:uid="{0919D3BF-A2E9-4D20-B937-83BE0C5F3271}" uniqueName="6" name="DoctorLicense" queryTableFieldId="6" dataDxfId="12"/>
    <tableColumn id="7" xr3:uid="{4602E144-F49E-46A4-AE83-E377D3D84D4C}" uniqueName="7" name="DoctorName" queryTableFieldId="7" dataDxfId="11"/>
    <tableColumn id="8" xr3:uid="{78863BBE-530E-4D36-8723-07525E55B1FF}" uniqueName="8" name="Doctor Type" queryTableFieldId="8" dataDxfId="10"/>
    <tableColumn id="9" xr3:uid="{4064E18C-6E41-49F7-812C-5CF83FAE217C}" uniqueName="9" name="Doctor Status" queryTableFieldId="9" dataDxfId="9"/>
    <tableColumn id="10" xr3:uid="{20EF139E-9F30-47BF-8C65-F91E8A812DC9}" uniqueName="10" name="CMI Value" queryTableFieldId="10"/>
    <tableColumn id="11" xr3:uid="{E1021049-252A-43F8-AFDB-B0DED7D6A1A9}" uniqueName="11" name="Specialty" queryTableFieldId="11" dataDxfId="8"/>
    <tableColumn id="12" xr3:uid="{51EDAD9D-4C02-440F-B905-C906B2A05F31}" uniqueName="12" name="Insurance/Payer" queryTableFieldId="12" dataDxfId="7"/>
    <tableColumn id="13" xr3:uid="{424B9515-2D5B-4024-B6CF-05EA1D523698}" uniqueName="13" name="InsurancePlanName" queryTableFieldId="13" dataDxfId="6"/>
    <tableColumn id="14" xr3:uid="{F1EE7174-AF9D-465E-BB3E-B2E37E72871B}" uniqueName="14" name="Payer Mix" queryTableFieldId="14" dataDxfId="5"/>
    <tableColumn id="15" xr3:uid="{BAC71D81-4020-4AAF-8AC3-9EF0AB7DFB26}" uniqueName="15" name="Case type" queryTableFieldId="15" dataDxfId="4"/>
    <tableColumn id="16" xr3:uid="{03932C93-B7C2-4CBA-96B3-1322E94A09B3}" uniqueName="16" name="LOS" queryTableFieldId="16"/>
    <tableColumn id="17" xr3:uid="{21A0704E-A7F5-456E-A384-E7834446027B}" uniqueName="17" name="Severity" queryTableFieldId="17"/>
    <tableColumn id="18" xr3:uid="{C3ADFD27-C250-4CF0-AACC-A50B08810E3A}" uniqueName="18" name="Surgical Mix" queryTableFieldId="18" dataDxfId="3"/>
    <tableColumn id="19" xr3:uid="{273219AD-A915-47FD-92F1-3D8C0F396182}" uniqueName="19" name="Discharge Time" queryTableFieldId="19" dataDxfId="2"/>
    <tableColumn id="20" xr3:uid="{A9F5F565-2702-435A-A762-65C4943920E8}" uniqueName="20" name="Discharge Before 12PM" queryTableFieldId="20" dataDxfId="1"/>
    <tableColumn id="21" xr3:uid="{6F5490A1-047D-4ADA-BDC2-B2A60F18A7B2}" uniqueName="21" name="Revenue" queryTableFieldId="21"/>
    <tableColumn id="22" xr3:uid="{73A54E98-64EC-4864-A1CA-4E7F1BE3011B}" uniqueName="22" name="Month Name" queryTableFieldId="22"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DDECD-EED8-4E73-A21F-4EBAB85060DF}">
  <dimension ref="A1:V224"/>
  <sheetViews>
    <sheetView topLeftCell="L1" workbookViewId="0">
      <selection activeCell="C13" sqref="C13"/>
    </sheetView>
  </sheetViews>
  <sheetFormatPr defaultRowHeight="14.5" x14ac:dyDescent="0.35"/>
  <cols>
    <col min="1" max="1" width="13.54296875" customWidth="1"/>
    <col min="2" max="2" width="13.7265625" customWidth="1"/>
    <col min="3" max="3" width="15.54296875" customWidth="1"/>
    <col min="4" max="4" width="12.26953125" bestFit="1" customWidth="1"/>
    <col min="5" max="5" width="9.26953125" bestFit="1" customWidth="1"/>
    <col min="6" max="6" width="14.81640625" bestFit="1" customWidth="1"/>
    <col min="7" max="7" width="16.453125" bestFit="1" customWidth="1"/>
    <col min="8" max="8" width="13.26953125" bestFit="1" customWidth="1"/>
    <col min="9" max="9" width="14.54296875" bestFit="1" customWidth="1"/>
    <col min="10" max="10" width="11.6328125" bestFit="1" customWidth="1"/>
    <col min="11" max="11" width="21.26953125" bestFit="1" customWidth="1"/>
    <col min="12" max="12" width="19.453125" bestFit="1" customWidth="1"/>
    <col min="13" max="13" width="20" bestFit="1" customWidth="1"/>
    <col min="14" max="14" width="14.81640625" customWidth="1"/>
    <col min="15" max="15" width="11.1796875" bestFit="1" customWidth="1"/>
    <col min="16" max="16" width="6.1796875" bestFit="1" customWidth="1"/>
    <col min="17" max="17" width="9.7265625" bestFit="1" customWidth="1"/>
    <col min="18" max="18" width="13" bestFit="1" customWidth="1"/>
    <col min="19" max="19" width="15.81640625" bestFit="1" customWidth="1"/>
    <col min="20" max="20" width="22.6328125" bestFit="1" customWidth="1"/>
    <col min="21" max="21" width="10.26953125" bestFit="1" customWidth="1"/>
    <col min="22" max="22" width="14.179687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98</v>
      </c>
    </row>
    <row r="2" spans="1:22" x14ac:dyDescent="0.35">
      <c r="A2" s="1">
        <v>45689</v>
      </c>
      <c r="B2">
        <v>123517868</v>
      </c>
      <c r="C2">
        <v>2002</v>
      </c>
      <c r="D2" t="s">
        <v>21</v>
      </c>
      <c r="E2" t="s">
        <v>22</v>
      </c>
      <c r="F2" t="s">
        <v>23</v>
      </c>
      <c r="G2" t="s">
        <v>24</v>
      </c>
      <c r="H2" t="s">
        <v>25</v>
      </c>
      <c r="I2" t="s">
        <v>26</v>
      </c>
      <c r="J2">
        <v>1.048</v>
      </c>
      <c r="K2" t="s">
        <v>27</v>
      </c>
      <c r="L2" t="s">
        <v>28</v>
      </c>
      <c r="M2" t="s">
        <v>29</v>
      </c>
      <c r="N2" t="s">
        <v>30</v>
      </c>
      <c r="O2" t="s">
        <v>31</v>
      </c>
      <c r="P2">
        <v>0</v>
      </c>
      <c r="Q2">
        <v>1</v>
      </c>
      <c r="R2" t="s">
        <v>32</v>
      </c>
      <c r="S2" s="2">
        <v>0.29166666666666669</v>
      </c>
      <c r="T2" t="s">
        <v>33</v>
      </c>
      <c r="U2">
        <v>548</v>
      </c>
      <c r="V2" t="s">
        <v>99</v>
      </c>
    </row>
    <row r="3" spans="1:22" x14ac:dyDescent="0.35">
      <c r="A3" s="1">
        <v>45809</v>
      </c>
      <c r="B3">
        <v>123605097</v>
      </c>
      <c r="C3">
        <v>2000</v>
      </c>
      <c r="D3" t="s">
        <v>34</v>
      </c>
      <c r="E3" t="s">
        <v>22</v>
      </c>
      <c r="F3" t="s">
        <v>35</v>
      </c>
      <c r="G3" t="s">
        <v>36</v>
      </c>
      <c r="H3" t="s">
        <v>37</v>
      </c>
      <c r="I3" t="s">
        <v>38</v>
      </c>
      <c r="J3">
        <v>1.006</v>
      </c>
      <c r="K3" t="s">
        <v>39</v>
      </c>
      <c r="L3" t="s">
        <v>40</v>
      </c>
      <c r="M3" t="s">
        <v>41</v>
      </c>
      <c r="N3" t="s">
        <v>30</v>
      </c>
      <c r="O3" t="s">
        <v>42</v>
      </c>
      <c r="P3">
        <v>4</v>
      </c>
      <c r="Q3">
        <v>3</v>
      </c>
      <c r="R3" t="s">
        <v>32</v>
      </c>
      <c r="S3" s="2">
        <v>0.56874999999999998</v>
      </c>
      <c r="T3" t="s">
        <v>43</v>
      </c>
      <c r="U3">
        <v>117129</v>
      </c>
      <c r="V3" t="s">
        <v>100</v>
      </c>
    </row>
    <row r="4" spans="1:22" x14ac:dyDescent="0.35">
      <c r="A4" s="1">
        <v>45901</v>
      </c>
      <c r="B4">
        <v>123590824</v>
      </c>
      <c r="C4">
        <v>1983</v>
      </c>
      <c r="D4" t="s">
        <v>34</v>
      </c>
      <c r="E4" t="s">
        <v>44</v>
      </c>
      <c r="F4" t="s">
        <v>45</v>
      </c>
      <c r="G4" t="s">
        <v>46</v>
      </c>
      <c r="H4" t="s">
        <v>37</v>
      </c>
      <c r="I4" t="s">
        <v>38</v>
      </c>
      <c r="J4">
        <v>0.998</v>
      </c>
      <c r="K4" t="s">
        <v>47</v>
      </c>
      <c r="L4" t="s">
        <v>48</v>
      </c>
      <c r="M4" t="s">
        <v>49</v>
      </c>
      <c r="N4" t="s">
        <v>30</v>
      </c>
      <c r="O4" t="s">
        <v>42</v>
      </c>
      <c r="P4">
        <v>6</v>
      </c>
      <c r="Q4">
        <v>1</v>
      </c>
      <c r="R4" t="s">
        <v>32</v>
      </c>
      <c r="S4" s="2">
        <v>0.68194444444444446</v>
      </c>
      <c r="T4" t="s">
        <v>43</v>
      </c>
      <c r="U4">
        <v>66031</v>
      </c>
      <c r="V4" t="s">
        <v>101</v>
      </c>
    </row>
    <row r="5" spans="1:22" x14ac:dyDescent="0.35">
      <c r="A5" s="1">
        <v>45717</v>
      </c>
      <c r="B5">
        <v>123602168</v>
      </c>
      <c r="C5">
        <v>2000</v>
      </c>
      <c r="D5" t="s">
        <v>50</v>
      </c>
      <c r="E5" t="s">
        <v>44</v>
      </c>
      <c r="F5" t="s">
        <v>51</v>
      </c>
      <c r="G5" t="s">
        <v>52</v>
      </c>
      <c r="H5" t="s">
        <v>53</v>
      </c>
      <c r="I5" t="s">
        <v>38</v>
      </c>
      <c r="J5">
        <v>1.0329999999999999</v>
      </c>
      <c r="K5" t="s">
        <v>54</v>
      </c>
      <c r="L5" t="s">
        <v>28</v>
      </c>
      <c r="M5" t="s">
        <v>55</v>
      </c>
      <c r="N5" t="s">
        <v>30</v>
      </c>
      <c r="O5" t="s">
        <v>42</v>
      </c>
      <c r="P5">
        <v>3</v>
      </c>
      <c r="Q5">
        <v>2</v>
      </c>
      <c r="R5" t="s">
        <v>32</v>
      </c>
      <c r="S5" s="2">
        <v>0.69791666666666663</v>
      </c>
      <c r="T5" t="s">
        <v>43</v>
      </c>
      <c r="U5">
        <v>49607</v>
      </c>
      <c r="V5" t="s">
        <v>102</v>
      </c>
    </row>
    <row r="6" spans="1:22" x14ac:dyDescent="0.35">
      <c r="A6" s="1">
        <v>45689</v>
      </c>
      <c r="B6">
        <v>123584744</v>
      </c>
      <c r="C6">
        <v>1958</v>
      </c>
      <c r="D6" t="s">
        <v>56</v>
      </c>
      <c r="E6" t="s">
        <v>22</v>
      </c>
      <c r="F6" t="s">
        <v>57</v>
      </c>
      <c r="G6" t="s">
        <v>58</v>
      </c>
      <c r="H6" t="s">
        <v>25</v>
      </c>
      <c r="I6" t="s">
        <v>38</v>
      </c>
      <c r="J6">
        <v>1.1419999999999999</v>
      </c>
      <c r="K6" t="s">
        <v>59</v>
      </c>
      <c r="L6" t="s">
        <v>48</v>
      </c>
      <c r="M6" t="s">
        <v>49</v>
      </c>
      <c r="N6" t="s">
        <v>30</v>
      </c>
      <c r="O6" t="s">
        <v>31</v>
      </c>
      <c r="P6">
        <v>0</v>
      </c>
      <c r="Q6">
        <v>3</v>
      </c>
      <c r="R6" t="s">
        <v>32</v>
      </c>
      <c r="S6" s="2">
        <v>0.625</v>
      </c>
      <c r="T6" t="s">
        <v>43</v>
      </c>
      <c r="U6">
        <v>950</v>
      </c>
      <c r="V6" t="s">
        <v>99</v>
      </c>
    </row>
    <row r="7" spans="1:22" x14ac:dyDescent="0.35">
      <c r="A7" s="1">
        <v>45992</v>
      </c>
      <c r="B7">
        <v>123861831</v>
      </c>
      <c r="C7">
        <v>1990</v>
      </c>
      <c r="D7" t="s">
        <v>60</v>
      </c>
      <c r="E7" t="s">
        <v>44</v>
      </c>
      <c r="F7" t="s">
        <v>61</v>
      </c>
      <c r="G7" t="s">
        <v>62</v>
      </c>
      <c r="H7" t="s">
        <v>25</v>
      </c>
      <c r="I7" t="s">
        <v>26</v>
      </c>
      <c r="J7">
        <v>1.1259999999999999</v>
      </c>
      <c r="K7" t="s">
        <v>63</v>
      </c>
      <c r="L7" t="s">
        <v>28</v>
      </c>
      <c r="M7" t="s">
        <v>64</v>
      </c>
      <c r="N7" t="s">
        <v>30</v>
      </c>
      <c r="O7" t="s">
        <v>42</v>
      </c>
      <c r="P7">
        <v>4</v>
      </c>
      <c r="Q7">
        <v>1</v>
      </c>
      <c r="R7" t="s">
        <v>32</v>
      </c>
      <c r="S7" s="2">
        <v>0.31736111111111109</v>
      </c>
      <c r="T7" t="s">
        <v>33</v>
      </c>
      <c r="U7">
        <v>33016</v>
      </c>
      <c r="V7" t="s">
        <v>103</v>
      </c>
    </row>
    <row r="8" spans="1:22" x14ac:dyDescent="0.35">
      <c r="A8" s="1">
        <v>45901</v>
      </c>
      <c r="B8">
        <v>123913425</v>
      </c>
      <c r="C8">
        <v>1979</v>
      </c>
      <c r="D8" t="s">
        <v>34</v>
      </c>
      <c r="E8" t="s">
        <v>22</v>
      </c>
      <c r="F8" t="s">
        <v>23</v>
      </c>
      <c r="G8" t="s">
        <v>24</v>
      </c>
      <c r="H8" t="s">
        <v>25</v>
      </c>
      <c r="I8" t="s">
        <v>38</v>
      </c>
      <c r="J8">
        <v>1.042</v>
      </c>
      <c r="K8" t="s">
        <v>27</v>
      </c>
      <c r="L8" t="s">
        <v>65</v>
      </c>
      <c r="M8" t="s">
        <v>66</v>
      </c>
      <c r="N8" t="s">
        <v>30</v>
      </c>
      <c r="O8" t="s">
        <v>67</v>
      </c>
      <c r="P8">
        <v>1</v>
      </c>
      <c r="Q8">
        <v>1</v>
      </c>
      <c r="R8" t="s">
        <v>32</v>
      </c>
      <c r="S8" s="2">
        <v>0.70347222222222228</v>
      </c>
      <c r="T8" t="s">
        <v>43</v>
      </c>
      <c r="U8">
        <v>2145</v>
      </c>
      <c r="V8" t="s">
        <v>101</v>
      </c>
    </row>
    <row r="9" spans="1:22" x14ac:dyDescent="0.35">
      <c r="A9" s="1">
        <v>45931</v>
      </c>
      <c r="B9">
        <v>123900212</v>
      </c>
      <c r="C9">
        <v>1973</v>
      </c>
      <c r="D9" t="s">
        <v>68</v>
      </c>
      <c r="E9" t="s">
        <v>22</v>
      </c>
      <c r="F9" t="s">
        <v>23</v>
      </c>
      <c r="G9" t="s">
        <v>24</v>
      </c>
      <c r="H9" t="s">
        <v>25</v>
      </c>
      <c r="I9" t="s">
        <v>38</v>
      </c>
      <c r="J9">
        <v>1.125</v>
      </c>
      <c r="K9" t="s">
        <v>27</v>
      </c>
      <c r="L9" t="s">
        <v>28</v>
      </c>
      <c r="M9" t="s">
        <v>64</v>
      </c>
      <c r="N9" t="s">
        <v>30</v>
      </c>
      <c r="O9" t="s">
        <v>67</v>
      </c>
      <c r="P9">
        <v>1</v>
      </c>
      <c r="Q9">
        <v>2</v>
      </c>
      <c r="R9" t="s">
        <v>32</v>
      </c>
      <c r="S9" s="2">
        <v>0.31319444444444444</v>
      </c>
      <c r="T9" t="s">
        <v>33</v>
      </c>
      <c r="U9">
        <v>4630</v>
      </c>
      <c r="V9" t="s">
        <v>104</v>
      </c>
    </row>
    <row r="10" spans="1:22" x14ac:dyDescent="0.35">
      <c r="A10" s="1">
        <v>45931</v>
      </c>
      <c r="B10">
        <v>123513271</v>
      </c>
      <c r="C10">
        <v>1975</v>
      </c>
      <c r="D10" t="s">
        <v>69</v>
      </c>
      <c r="E10" t="s">
        <v>44</v>
      </c>
      <c r="F10" t="s">
        <v>70</v>
      </c>
      <c r="G10" t="s">
        <v>71</v>
      </c>
      <c r="H10" t="s">
        <v>37</v>
      </c>
      <c r="I10" t="s">
        <v>38</v>
      </c>
      <c r="J10">
        <v>1.1910000000000001</v>
      </c>
      <c r="K10" t="s">
        <v>72</v>
      </c>
      <c r="L10" t="s">
        <v>65</v>
      </c>
      <c r="M10" t="s">
        <v>73</v>
      </c>
      <c r="N10" t="s">
        <v>30</v>
      </c>
      <c r="O10" t="s">
        <v>42</v>
      </c>
      <c r="P10">
        <v>3</v>
      </c>
      <c r="Q10">
        <v>3</v>
      </c>
      <c r="R10" t="s">
        <v>32</v>
      </c>
      <c r="S10" s="2">
        <v>0.62777777777777777</v>
      </c>
      <c r="T10" t="s">
        <v>43</v>
      </c>
      <c r="U10">
        <v>36501</v>
      </c>
      <c r="V10" t="s">
        <v>104</v>
      </c>
    </row>
    <row r="11" spans="1:22" x14ac:dyDescent="0.35">
      <c r="A11" s="1">
        <v>45839</v>
      </c>
      <c r="B11">
        <v>123935607</v>
      </c>
      <c r="C11">
        <v>1990</v>
      </c>
      <c r="D11" t="s">
        <v>60</v>
      </c>
      <c r="E11" t="s">
        <v>44</v>
      </c>
      <c r="F11" t="s">
        <v>74</v>
      </c>
      <c r="G11" t="s">
        <v>75</v>
      </c>
      <c r="H11" t="s">
        <v>37</v>
      </c>
      <c r="I11" t="s">
        <v>26</v>
      </c>
      <c r="J11">
        <v>0.88300000000000001</v>
      </c>
      <c r="K11" t="s">
        <v>76</v>
      </c>
      <c r="L11" t="s">
        <v>40</v>
      </c>
      <c r="M11" t="s">
        <v>41</v>
      </c>
      <c r="N11" t="s">
        <v>30</v>
      </c>
      <c r="O11" t="s">
        <v>42</v>
      </c>
      <c r="P11">
        <v>4</v>
      </c>
      <c r="Q11">
        <v>1</v>
      </c>
      <c r="R11" t="s">
        <v>32</v>
      </c>
      <c r="S11" s="2">
        <v>0.46250000000000002</v>
      </c>
      <c r="T11" t="s">
        <v>33</v>
      </c>
      <c r="U11">
        <v>26141</v>
      </c>
      <c r="V11" t="s">
        <v>105</v>
      </c>
    </row>
    <row r="12" spans="1:22" x14ac:dyDescent="0.35">
      <c r="A12" s="1">
        <v>45689</v>
      </c>
      <c r="B12">
        <v>123492207</v>
      </c>
      <c r="C12">
        <v>1998</v>
      </c>
      <c r="D12" t="s">
        <v>34</v>
      </c>
      <c r="E12" t="s">
        <v>22</v>
      </c>
      <c r="F12" t="s">
        <v>74</v>
      </c>
      <c r="G12" t="s">
        <v>75</v>
      </c>
      <c r="H12" t="s">
        <v>37</v>
      </c>
      <c r="I12" t="s">
        <v>38</v>
      </c>
      <c r="J12">
        <v>1.071</v>
      </c>
      <c r="K12" t="s">
        <v>76</v>
      </c>
      <c r="L12" t="s">
        <v>65</v>
      </c>
      <c r="M12" t="s">
        <v>73</v>
      </c>
      <c r="N12" t="s">
        <v>30</v>
      </c>
      <c r="O12" t="s">
        <v>31</v>
      </c>
      <c r="P12">
        <v>0</v>
      </c>
      <c r="Q12">
        <v>2</v>
      </c>
      <c r="R12" t="s">
        <v>32</v>
      </c>
      <c r="S12" s="2">
        <v>0.34375</v>
      </c>
      <c r="T12" t="s">
        <v>33</v>
      </c>
      <c r="U12">
        <v>925</v>
      </c>
      <c r="V12" t="s">
        <v>99</v>
      </c>
    </row>
    <row r="13" spans="1:22" x14ac:dyDescent="0.35">
      <c r="A13" s="1">
        <v>45809</v>
      </c>
      <c r="B13">
        <v>123779371</v>
      </c>
      <c r="C13">
        <v>1991</v>
      </c>
      <c r="D13" t="s">
        <v>60</v>
      </c>
      <c r="E13" t="s">
        <v>44</v>
      </c>
      <c r="F13" t="s">
        <v>74</v>
      </c>
      <c r="G13" t="s">
        <v>75</v>
      </c>
      <c r="H13" t="s">
        <v>37</v>
      </c>
      <c r="I13" t="s">
        <v>38</v>
      </c>
      <c r="J13">
        <v>0.88500000000000001</v>
      </c>
      <c r="K13" t="s">
        <v>76</v>
      </c>
      <c r="L13" t="s">
        <v>28</v>
      </c>
      <c r="M13" t="s">
        <v>64</v>
      </c>
      <c r="N13" t="s">
        <v>30</v>
      </c>
      <c r="O13" t="s">
        <v>42</v>
      </c>
      <c r="P13">
        <v>3</v>
      </c>
      <c r="Q13">
        <v>2</v>
      </c>
      <c r="R13" t="s">
        <v>32</v>
      </c>
      <c r="S13" s="2">
        <v>0.33263888888888887</v>
      </c>
      <c r="T13" t="s">
        <v>33</v>
      </c>
      <c r="U13">
        <v>16036</v>
      </c>
      <c r="V13" t="s">
        <v>100</v>
      </c>
    </row>
    <row r="14" spans="1:22" x14ac:dyDescent="0.35">
      <c r="A14" s="1">
        <v>45839</v>
      </c>
      <c r="B14">
        <v>123650676</v>
      </c>
      <c r="C14">
        <v>1987</v>
      </c>
      <c r="D14" t="s">
        <v>77</v>
      </c>
      <c r="E14" t="s">
        <v>44</v>
      </c>
      <c r="F14" t="s">
        <v>74</v>
      </c>
      <c r="G14" t="s">
        <v>75</v>
      </c>
      <c r="H14" t="s">
        <v>37</v>
      </c>
      <c r="I14" t="s">
        <v>38</v>
      </c>
      <c r="J14">
        <v>0.94799999999999995</v>
      </c>
      <c r="K14" t="s">
        <v>76</v>
      </c>
      <c r="L14" t="s">
        <v>48</v>
      </c>
      <c r="M14" t="s">
        <v>49</v>
      </c>
      <c r="N14" t="s">
        <v>30</v>
      </c>
      <c r="O14" t="s">
        <v>31</v>
      </c>
      <c r="P14">
        <v>0</v>
      </c>
      <c r="Q14">
        <v>3</v>
      </c>
      <c r="R14" t="s">
        <v>32</v>
      </c>
      <c r="S14" s="2">
        <v>0.48333333333333334</v>
      </c>
      <c r="T14" t="s">
        <v>33</v>
      </c>
      <c r="U14">
        <v>2195</v>
      </c>
      <c r="V14" t="s">
        <v>105</v>
      </c>
    </row>
    <row r="15" spans="1:22" x14ac:dyDescent="0.35">
      <c r="A15" s="1">
        <v>45992</v>
      </c>
      <c r="B15">
        <v>123904616</v>
      </c>
      <c r="C15">
        <v>1995</v>
      </c>
      <c r="D15" t="s">
        <v>60</v>
      </c>
      <c r="E15" t="s">
        <v>22</v>
      </c>
      <c r="F15" t="s">
        <v>78</v>
      </c>
      <c r="G15" t="s">
        <v>79</v>
      </c>
      <c r="H15" t="s">
        <v>37</v>
      </c>
      <c r="I15" t="s">
        <v>38</v>
      </c>
      <c r="J15">
        <v>1.038</v>
      </c>
      <c r="K15" t="s">
        <v>80</v>
      </c>
      <c r="L15" t="s">
        <v>28</v>
      </c>
      <c r="M15" t="s">
        <v>55</v>
      </c>
      <c r="N15" t="s">
        <v>30</v>
      </c>
      <c r="O15" t="s">
        <v>31</v>
      </c>
      <c r="P15">
        <v>0</v>
      </c>
      <c r="Q15">
        <v>2</v>
      </c>
      <c r="R15" t="s">
        <v>32</v>
      </c>
      <c r="S15" s="2">
        <v>0.40069444444444446</v>
      </c>
      <c r="T15" t="s">
        <v>33</v>
      </c>
      <c r="U15">
        <v>446</v>
      </c>
      <c r="V15" t="s">
        <v>103</v>
      </c>
    </row>
    <row r="16" spans="1:22" x14ac:dyDescent="0.35">
      <c r="A16" s="1">
        <v>45778</v>
      </c>
      <c r="B16">
        <v>123958307</v>
      </c>
      <c r="C16">
        <v>1995</v>
      </c>
      <c r="D16" t="s">
        <v>81</v>
      </c>
      <c r="E16" t="s">
        <v>44</v>
      </c>
      <c r="F16" t="s">
        <v>45</v>
      </c>
      <c r="G16" t="s">
        <v>46</v>
      </c>
      <c r="H16" t="s">
        <v>37</v>
      </c>
      <c r="I16" t="s">
        <v>38</v>
      </c>
      <c r="J16">
        <v>1.097</v>
      </c>
      <c r="K16" t="s">
        <v>47</v>
      </c>
      <c r="L16" t="s">
        <v>28</v>
      </c>
      <c r="M16" t="s">
        <v>64</v>
      </c>
      <c r="N16" t="s">
        <v>30</v>
      </c>
      <c r="O16" t="s">
        <v>31</v>
      </c>
      <c r="P16">
        <v>0</v>
      </c>
      <c r="Q16">
        <v>1</v>
      </c>
      <c r="R16" t="s">
        <v>32</v>
      </c>
      <c r="S16" s="2">
        <v>0.32569444444444445</v>
      </c>
      <c r="T16" t="s">
        <v>33</v>
      </c>
      <c r="U16">
        <v>135</v>
      </c>
      <c r="V16" t="s">
        <v>95</v>
      </c>
    </row>
    <row r="17" spans="1:22" x14ac:dyDescent="0.35">
      <c r="A17" s="1">
        <v>45839</v>
      </c>
      <c r="B17">
        <v>123953904</v>
      </c>
      <c r="C17">
        <v>1993</v>
      </c>
      <c r="D17" t="s">
        <v>82</v>
      </c>
      <c r="E17" t="s">
        <v>44</v>
      </c>
      <c r="F17" t="s">
        <v>70</v>
      </c>
      <c r="G17" t="s">
        <v>71</v>
      </c>
      <c r="H17" t="s">
        <v>37</v>
      </c>
      <c r="I17" t="s">
        <v>38</v>
      </c>
      <c r="J17">
        <v>0.90500000000000003</v>
      </c>
      <c r="K17" t="s">
        <v>72</v>
      </c>
      <c r="L17" t="s">
        <v>28</v>
      </c>
      <c r="M17" t="s">
        <v>29</v>
      </c>
      <c r="N17" t="s">
        <v>30</v>
      </c>
      <c r="O17" t="s">
        <v>42</v>
      </c>
      <c r="P17">
        <v>4</v>
      </c>
      <c r="Q17">
        <v>1</v>
      </c>
      <c r="R17" t="s">
        <v>32</v>
      </c>
      <c r="S17" s="2">
        <v>0.58333333333333337</v>
      </c>
      <c r="T17" t="s">
        <v>43</v>
      </c>
      <c r="U17">
        <v>23382</v>
      </c>
      <c r="V17" t="s">
        <v>105</v>
      </c>
    </row>
    <row r="18" spans="1:22" x14ac:dyDescent="0.35">
      <c r="A18" s="1">
        <v>45809</v>
      </c>
      <c r="B18">
        <v>123781615</v>
      </c>
      <c r="C18">
        <v>1994</v>
      </c>
      <c r="D18" t="s">
        <v>34</v>
      </c>
      <c r="E18" t="s">
        <v>44</v>
      </c>
      <c r="F18" t="s">
        <v>78</v>
      </c>
      <c r="G18" t="s">
        <v>79</v>
      </c>
      <c r="H18" t="s">
        <v>37</v>
      </c>
      <c r="I18" t="s">
        <v>38</v>
      </c>
      <c r="J18">
        <v>1.0620000000000001</v>
      </c>
      <c r="K18" t="s">
        <v>80</v>
      </c>
      <c r="L18" t="s">
        <v>65</v>
      </c>
      <c r="M18" t="s">
        <v>73</v>
      </c>
      <c r="N18" t="s">
        <v>30</v>
      </c>
      <c r="O18" t="s">
        <v>31</v>
      </c>
      <c r="P18">
        <v>0</v>
      </c>
      <c r="Q18">
        <v>1</v>
      </c>
      <c r="R18" t="s">
        <v>32</v>
      </c>
      <c r="S18" s="2">
        <v>0.25347222222222221</v>
      </c>
      <c r="T18" t="s">
        <v>33</v>
      </c>
      <c r="U18">
        <v>1584</v>
      </c>
      <c r="V18" t="s">
        <v>100</v>
      </c>
    </row>
    <row r="19" spans="1:22" x14ac:dyDescent="0.35">
      <c r="A19" s="1">
        <v>45839</v>
      </c>
      <c r="B19">
        <v>123610887</v>
      </c>
      <c r="C19">
        <v>1997</v>
      </c>
      <c r="D19" t="s">
        <v>68</v>
      </c>
      <c r="E19" t="s">
        <v>22</v>
      </c>
      <c r="F19" t="s">
        <v>23</v>
      </c>
      <c r="G19" t="s">
        <v>24</v>
      </c>
      <c r="H19" t="s">
        <v>25</v>
      </c>
      <c r="I19" t="s">
        <v>38</v>
      </c>
      <c r="J19">
        <v>1.1100000000000001</v>
      </c>
      <c r="K19" t="s">
        <v>27</v>
      </c>
      <c r="L19" t="s">
        <v>28</v>
      </c>
      <c r="M19" t="s">
        <v>29</v>
      </c>
      <c r="N19" t="s">
        <v>30</v>
      </c>
      <c r="O19" t="s">
        <v>31</v>
      </c>
      <c r="P19">
        <v>0</v>
      </c>
      <c r="Q19">
        <v>2</v>
      </c>
      <c r="R19" t="s">
        <v>32</v>
      </c>
      <c r="S19" s="2">
        <v>0.2673611111111111</v>
      </c>
      <c r="T19" t="s">
        <v>33</v>
      </c>
      <c r="U19">
        <v>2153</v>
      </c>
      <c r="V19" t="s">
        <v>105</v>
      </c>
    </row>
    <row r="20" spans="1:22" x14ac:dyDescent="0.35">
      <c r="A20" s="1">
        <v>45962</v>
      </c>
      <c r="B20">
        <v>123770113</v>
      </c>
      <c r="C20">
        <v>1975</v>
      </c>
      <c r="D20" t="s">
        <v>34</v>
      </c>
      <c r="E20" t="s">
        <v>44</v>
      </c>
      <c r="F20" t="s">
        <v>83</v>
      </c>
      <c r="G20" t="s">
        <v>84</v>
      </c>
      <c r="H20" t="s">
        <v>53</v>
      </c>
      <c r="I20" t="s">
        <v>26</v>
      </c>
      <c r="J20">
        <v>0.93700000000000006</v>
      </c>
      <c r="K20" t="s">
        <v>85</v>
      </c>
      <c r="L20" t="s">
        <v>28</v>
      </c>
      <c r="M20" t="s">
        <v>55</v>
      </c>
      <c r="N20" t="s">
        <v>30</v>
      </c>
      <c r="O20" t="s">
        <v>42</v>
      </c>
      <c r="P20">
        <v>3</v>
      </c>
      <c r="Q20">
        <v>1</v>
      </c>
      <c r="R20" t="s">
        <v>32</v>
      </c>
      <c r="S20" s="2">
        <v>0.49444444444444446</v>
      </c>
      <c r="T20" t="s">
        <v>33</v>
      </c>
      <c r="U20">
        <v>30926</v>
      </c>
      <c r="V20" t="s">
        <v>106</v>
      </c>
    </row>
    <row r="21" spans="1:22" x14ac:dyDescent="0.35">
      <c r="A21" s="1">
        <v>45658</v>
      </c>
      <c r="B21">
        <v>123539565</v>
      </c>
      <c r="C21">
        <v>1979</v>
      </c>
      <c r="D21" t="s">
        <v>81</v>
      </c>
      <c r="E21" t="s">
        <v>44</v>
      </c>
      <c r="F21" t="s">
        <v>78</v>
      </c>
      <c r="G21" t="s">
        <v>79</v>
      </c>
      <c r="H21" t="s">
        <v>37</v>
      </c>
      <c r="I21" t="s">
        <v>38</v>
      </c>
      <c r="J21">
        <v>1.0129999999999999</v>
      </c>
      <c r="K21" t="s">
        <v>80</v>
      </c>
      <c r="L21" t="s">
        <v>40</v>
      </c>
      <c r="M21" t="s">
        <v>86</v>
      </c>
      <c r="N21" t="s">
        <v>30</v>
      </c>
      <c r="O21" t="s">
        <v>42</v>
      </c>
      <c r="P21">
        <v>3</v>
      </c>
      <c r="Q21">
        <v>1</v>
      </c>
      <c r="R21" t="s">
        <v>32</v>
      </c>
      <c r="S21" s="2">
        <v>0.46875</v>
      </c>
      <c r="T21" t="s">
        <v>33</v>
      </c>
      <c r="U21">
        <v>58089</v>
      </c>
      <c r="V21" t="s">
        <v>107</v>
      </c>
    </row>
    <row r="22" spans="1:22" x14ac:dyDescent="0.35">
      <c r="A22" s="1">
        <v>45931</v>
      </c>
      <c r="B22">
        <v>123518826</v>
      </c>
      <c r="C22">
        <v>1967</v>
      </c>
      <c r="D22" t="s">
        <v>34</v>
      </c>
      <c r="E22" t="s">
        <v>22</v>
      </c>
      <c r="F22" t="s">
        <v>61</v>
      </c>
      <c r="G22" t="s">
        <v>62</v>
      </c>
      <c r="H22" t="s">
        <v>25</v>
      </c>
      <c r="I22" t="s">
        <v>38</v>
      </c>
      <c r="J22">
        <v>0.93300000000000005</v>
      </c>
      <c r="K22" t="s">
        <v>63</v>
      </c>
      <c r="L22" t="s">
        <v>48</v>
      </c>
      <c r="M22" t="s">
        <v>87</v>
      </c>
      <c r="N22" t="s">
        <v>30</v>
      </c>
      <c r="O22" t="s">
        <v>31</v>
      </c>
      <c r="P22">
        <v>0</v>
      </c>
      <c r="Q22">
        <v>1</v>
      </c>
      <c r="R22" t="s">
        <v>32</v>
      </c>
      <c r="S22" s="2">
        <v>0.73263888888888884</v>
      </c>
      <c r="T22" t="s">
        <v>43</v>
      </c>
      <c r="U22">
        <v>360</v>
      </c>
      <c r="V22" t="s">
        <v>104</v>
      </c>
    </row>
    <row r="23" spans="1:22" x14ac:dyDescent="0.35">
      <c r="A23" s="1">
        <v>45901</v>
      </c>
      <c r="B23">
        <v>123561982</v>
      </c>
      <c r="C23">
        <v>1999</v>
      </c>
      <c r="D23" t="s">
        <v>77</v>
      </c>
      <c r="E23" t="s">
        <v>44</v>
      </c>
      <c r="F23" t="s">
        <v>35</v>
      </c>
      <c r="G23" t="s">
        <v>36</v>
      </c>
      <c r="H23" t="s">
        <v>37</v>
      </c>
      <c r="I23" t="s">
        <v>38</v>
      </c>
      <c r="J23">
        <v>1.1299999999999999</v>
      </c>
      <c r="K23" t="s">
        <v>39</v>
      </c>
      <c r="L23" t="s">
        <v>28</v>
      </c>
      <c r="M23" t="s">
        <v>29</v>
      </c>
      <c r="N23" t="s">
        <v>30</v>
      </c>
      <c r="O23" t="s">
        <v>42</v>
      </c>
      <c r="P23">
        <v>2</v>
      </c>
      <c r="Q23">
        <v>2</v>
      </c>
      <c r="R23" t="s">
        <v>32</v>
      </c>
      <c r="S23" s="2">
        <v>0.89722222222222225</v>
      </c>
      <c r="T23" t="s">
        <v>43</v>
      </c>
      <c r="U23">
        <v>8006</v>
      </c>
      <c r="V23" t="s">
        <v>101</v>
      </c>
    </row>
    <row r="24" spans="1:22" x14ac:dyDescent="0.35">
      <c r="A24" s="1">
        <v>45778</v>
      </c>
      <c r="B24">
        <v>123551004</v>
      </c>
      <c r="C24">
        <v>1999</v>
      </c>
      <c r="D24" t="s">
        <v>88</v>
      </c>
      <c r="E24" t="s">
        <v>44</v>
      </c>
      <c r="F24" t="s">
        <v>35</v>
      </c>
      <c r="G24" t="s">
        <v>36</v>
      </c>
      <c r="H24" t="s">
        <v>37</v>
      </c>
      <c r="I24" t="s">
        <v>38</v>
      </c>
      <c r="J24">
        <v>0.94199999999999995</v>
      </c>
      <c r="K24" t="s">
        <v>39</v>
      </c>
      <c r="L24" t="s">
        <v>28</v>
      </c>
      <c r="M24" t="s">
        <v>55</v>
      </c>
      <c r="N24" t="s">
        <v>30</v>
      </c>
      <c r="O24" t="s">
        <v>31</v>
      </c>
      <c r="P24">
        <v>0</v>
      </c>
      <c r="Q24">
        <v>3</v>
      </c>
      <c r="R24" t="s">
        <v>32</v>
      </c>
      <c r="S24" s="2">
        <v>0.37361111111111112</v>
      </c>
      <c r="T24" t="s">
        <v>33</v>
      </c>
      <c r="U24">
        <v>1466</v>
      </c>
      <c r="V24" t="s">
        <v>95</v>
      </c>
    </row>
    <row r="25" spans="1:22" x14ac:dyDescent="0.35">
      <c r="A25" s="1">
        <v>45962</v>
      </c>
      <c r="B25">
        <v>123777581</v>
      </c>
      <c r="C25">
        <v>1969</v>
      </c>
      <c r="D25" t="s">
        <v>82</v>
      </c>
      <c r="E25" t="s">
        <v>22</v>
      </c>
      <c r="F25" t="s">
        <v>74</v>
      </c>
      <c r="G25" t="s">
        <v>75</v>
      </c>
      <c r="H25" t="s">
        <v>37</v>
      </c>
      <c r="I25" t="s">
        <v>38</v>
      </c>
      <c r="J25">
        <v>0.89800000000000002</v>
      </c>
      <c r="K25" t="s">
        <v>76</v>
      </c>
      <c r="L25" t="s">
        <v>40</v>
      </c>
      <c r="M25" t="s">
        <v>86</v>
      </c>
      <c r="N25" t="s">
        <v>30</v>
      </c>
      <c r="O25" t="s">
        <v>67</v>
      </c>
      <c r="P25">
        <v>1</v>
      </c>
      <c r="Q25">
        <v>3</v>
      </c>
      <c r="R25" t="s">
        <v>89</v>
      </c>
      <c r="S25" s="2">
        <v>0.89444444444444449</v>
      </c>
      <c r="T25" t="s">
        <v>43</v>
      </c>
      <c r="U25">
        <v>4237</v>
      </c>
      <c r="V25" t="s">
        <v>106</v>
      </c>
    </row>
    <row r="26" spans="1:22" x14ac:dyDescent="0.35">
      <c r="A26" s="1">
        <v>45901</v>
      </c>
      <c r="B26">
        <v>123736701</v>
      </c>
      <c r="C26">
        <v>1999</v>
      </c>
      <c r="D26" t="s">
        <v>34</v>
      </c>
      <c r="E26" t="s">
        <v>44</v>
      </c>
      <c r="F26" t="s">
        <v>35</v>
      </c>
      <c r="G26" t="s">
        <v>36</v>
      </c>
      <c r="H26" t="s">
        <v>37</v>
      </c>
      <c r="I26" t="s">
        <v>26</v>
      </c>
      <c r="J26">
        <v>1.089</v>
      </c>
      <c r="K26" t="s">
        <v>39</v>
      </c>
      <c r="L26" t="s">
        <v>28</v>
      </c>
      <c r="M26" t="s">
        <v>55</v>
      </c>
      <c r="N26" t="s">
        <v>30</v>
      </c>
      <c r="O26" t="s">
        <v>31</v>
      </c>
      <c r="P26">
        <v>0</v>
      </c>
      <c r="Q26">
        <v>2</v>
      </c>
      <c r="R26" t="s">
        <v>32</v>
      </c>
      <c r="S26" s="2">
        <v>0.29166666666666669</v>
      </c>
      <c r="T26" t="s">
        <v>33</v>
      </c>
      <c r="U26">
        <v>266</v>
      </c>
      <c r="V26" t="s">
        <v>101</v>
      </c>
    </row>
    <row r="27" spans="1:22" x14ac:dyDescent="0.35">
      <c r="A27" s="1">
        <v>45931</v>
      </c>
      <c r="B27">
        <v>123826308</v>
      </c>
      <c r="C27">
        <v>1997</v>
      </c>
      <c r="D27" t="s">
        <v>60</v>
      </c>
      <c r="E27" t="s">
        <v>44</v>
      </c>
      <c r="F27" t="s">
        <v>35</v>
      </c>
      <c r="G27" t="s">
        <v>36</v>
      </c>
      <c r="H27" t="s">
        <v>37</v>
      </c>
      <c r="I27" t="s">
        <v>38</v>
      </c>
      <c r="J27">
        <v>1.052</v>
      </c>
      <c r="K27" t="s">
        <v>39</v>
      </c>
      <c r="L27" t="s">
        <v>28</v>
      </c>
      <c r="M27" t="s">
        <v>29</v>
      </c>
      <c r="N27" t="s">
        <v>30</v>
      </c>
      <c r="O27" t="s">
        <v>42</v>
      </c>
      <c r="P27">
        <v>4</v>
      </c>
      <c r="Q27">
        <v>2</v>
      </c>
      <c r="R27" t="s">
        <v>89</v>
      </c>
      <c r="S27" s="2">
        <v>0.83472222222222225</v>
      </c>
      <c r="T27" t="s">
        <v>43</v>
      </c>
      <c r="U27">
        <v>76346</v>
      </c>
      <c r="V27" t="s">
        <v>104</v>
      </c>
    </row>
    <row r="28" spans="1:22" x14ac:dyDescent="0.35">
      <c r="A28" s="1">
        <v>45931</v>
      </c>
      <c r="B28">
        <v>123892886</v>
      </c>
      <c r="C28">
        <v>1984</v>
      </c>
      <c r="D28" t="s">
        <v>88</v>
      </c>
      <c r="E28" t="s">
        <v>44</v>
      </c>
      <c r="F28" t="s">
        <v>78</v>
      </c>
      <c r="G28" t="s">
        <v>79</v>
      </c>
      <c r="H28" t="s">
        <v>37</v>
      </c>
      <c r="I28" t="s">
        <v>26</v>
      </c>
      <c r="J28">
        <v>1.1319999999999999</v>
      </c>
      <c r="K28" t="s">
        <v>80</v>
      </c>
      <c r="L28" t="s">
        <v>40</v>
      </c>
      <c r="M28" t="s">
        <v>41</v>
      </c>
      <c r="N28" t="s">
        <v>30</v>
      </c>
      <c r="O28" t="s">
        <v>42</v>
      </c>
      <c r="P28">
        <v>4</v>
      </c>
      <c r="Q28">
        <v>1</v>
      </c>
      <c r="R28" t="s">
        <v>32</v>
      </c>
      <c r="S28" s="2">
        <v>0.68472222222222223</v>
      </c>
      <c r="T28" t="s">
        <v>43</v>
      </c>
      <c r="U28">
        <v>38591</v>
      </c>
      <c r="V28" t="s">
        <v>104</v>
      </c>
    </row>
    <row r="29" spans="1:22" x14ac:dyDescent="0.35">
      <c r="A29" s="1">
        <v>45658</v>
      </c>
      <c r="B29">
        <v>123730461</v>
      </c>
      <c r="C29">
        <v>1957</v>
      </c>
      <c r="D29" t="s">
        <v>90</v>
      </c>
      <c r="E29" t="s">
        <v>22</v>
      </c>
      <c r="F29" t="s">
        <v>57</v>
      </c>
      <c r="G29" t="s">
        <v>58</v>
      </c>
      <c r="H29" t="s">
        <v>25</v>
      </c>
      <c r="I29" t="s">
        <v>38</v>
      </c>
      <c r="J29">
        <v>1.244</v>
      </c>
      <c r="K29" t="s">
        <v>59</v>
      </c>
      <c r="L29" t="s">
        <v>28</v>
      </c>
      <c r="M29" t="s">
        <v>29</v>
      </c>
      <c r="N29" t="s">
        <v>30</v>
      </c>
      <c r="O29" t="s">
        <v>42</v>
      </c>
      <c r="P29">
        <v>3</v>
      </c>
      <c r="Q29">
        <v>2</v>
      </c>
      <c r="R29" t="s">
        <v>89</v>
      </c>
      <c r="S29" s="2">
        <v>0.5708333333333333</v>
      </c>
      <c r="T29" t="s">
        <v>43</v>
      </c>
      <c r="U29">
        <v>88955</v>
      </c>
      <c r="V29" t="s">
        <v>107</v>
      </c>
    </row>
    <row r="30" spans="1:22" x14ac:dyDescent="0.35">
      <c r="A30" s="1">
        <v>45689</v>
      </c>
      <c r="B30">
        <v>123932001</v>
      </c>
      <c r="C30">
        <v>1999</v>
      </c>
      <c r="D30" t="s">
        <v>90</v>
      </c>
      <c r="E30" t="s">
        <v>44</v>
      </c>
      <c r="F30" t="s">
        <v>35</v>
      </c>
      <c r="G30" t="s">
        <v>36</v>
      </c>
      <c r="H30" t="s">
        <v>37</v>
      </c>
      <c r="I30" t="s">
        <v>38</v>
      </c>
      <c r="J30">
        <v>1.1120000000000001</v>
      </c>
      <c r="K30" t="s">
        <v>39</v>
      </c>
      <c r="L30" t="s">
        <v>40</v>
      </c>
      <c r="M30" t="s">
        <v>86</v>
      </c>
      <c r="N30" t="s">
        <v>30</v>
      </c>
      <c r="O30" t="s">
        <v>67</v>
      </c>
      <c r="P30">
        <v>1</v>
      </c>
      <c r="Q30">
        <v>2</v>
      </c>
      <c r="R30" t="s">
        <v>89</v>
      </c>
      <c r="S30" s="2">
        <v>0.51458333333333328</v>
      </c>
      <c r="T30" t="s">
        <v>43</v>
      </c>
      <c r="U30">
        <v>6029</v>
      </c>
      <c r="V30" t="s">
        <v>99</v>
      </c>
    </row>
    <row r="31" spans="1:22" x14ac:dyDescent="0.35">
      <c r="A31" s="1">
        <v>45901</v>
      </c>
      <c r="B31">
        <v>123887201</v>
      </c>
      <c r="C31">
        <v>1990</v>
      </c>
      <c r="D31" t="s">
        <v>34</v>
      </c>
      <c r="E31" t="s">
        <v>22</v>
      </c>
      <c r="F31" t="s">
        <v>61</v>
      </c>
      <c r="G31" t="s">
        <v>62</v>
      </c>
      <c r="H31" t="s">
        <v>25</v>
      </c>
      <c r="I31" t="s">
        <v>38</v>
      </c>
      <c r="J31">
        <v>1.127</v>
      </c>
      <c r="K31" t="s">
        <v>63</v>
      </c>
      <c r="L31" t="s">
        <v>48</v>
      </c>
      <c r="M31" t="s">
        <v>49</v>
      </c>
      <c r="N31" t="s">
        <v>30</v>
      </c>
      <c r="O31" t="s">
        <v>42</v>
      </c>
      <c r="P31">
        <v>4</v>
      </c>
      <c r="Q31">
        <v>2</v>
      </c>
      <c r="R31" t="s">
        <v>89</v>
      </c>
      <c r="S31" s="2">
        <v>0.31180555555555556</v>
      </c>
      <c r="T31" t="s">
        <v>33</v>
      </c>
      <c r="U31">
        <v>105209</v>
      </c>
      <c r="V31" t="s">
        <v>101</v>
      </c>
    </row>
    <row r="32" spans="1:22" x14ac:dyDescent="0.35">
      <c r="A32" s="1">
        <v>45992</v>
      </c>
      <c r="B32">
        <v>123747862</v>
      </c>
      <c r="C32">
        <v>1969</v>
      </c>
      <c r="D32" t="s">
        <v>88</v>
      </c>
      <c r="E32" t="s">
        <v>22</v>
      </c>
      <c r="F32" t="s">
        <v>78</v>
      </c>
      <c r="G32" t="s">
        <v>79</v>
      </c>
      <c r="H32" t="s">
        <v>37</v>
      </c>
      <c r="I32" t="s">
        <v>38</v>
      </c>
      <c r="J32">
        <v>0.98099999999999998</v>
      </c>
      <c r="K32" t="s">
        <v>80</v>
      </c>
      <c r="L32" t="s">
        <v>65</v>
      </c>
      <c r="M32" t="s">
        <v>66</v>
      </c>
      <c r="N32" t="s">
        <v>30</v>
      </c>
      <c r="O32" t="s">
        <v>42</v>
      </c>
      <c r="P32">
        <v>2</v>
      </c>
      <c r="Q32">
        <v>2</v>
      </c>
      <c r="R32" t="s">
        <v>32</v>
      </c>
      <c r="S32" s="2">
        <v>0.73472222222222228</v>
      </c>
      <c r="T32" t="s">
        <v>43</v>
      </c>
      <c r="U32">
        <v>96767</v>
      </c>
      <c r="V32" t="s">
        <v>103</v>
      </c>
    </row>
    <row r="33" spans="1:22" x14ac:dyDescent="0.35">
      <c r="A33" s="1">
        <v>45778</v>
      </c>
      <c r="B33">
        <v>123724236</v>
      </c>
      <c r="C33">
        <v>1983</v>
      </c>
      <c r="D33" t="s">
        <v>69</v>
      </c>
      <c r="E33" t="s">
        <v>22</v>
      </c>
      <c r="F33" t="s">
        <v>57</v>
      </c>
      <c r="G33" t="s">
        <v>58</v>
      </c>
      <c r="H33" t="s">
        <v>25</v>
      </c>
      <c r="I33" t="s">
        <v>38</v>
      </c>
      <c r="J33">
        <v>0.93600000000000005</v>
      </c>
      <c r="K33" t="s">
        <v>59</v>
      </c>
      <c r="L33" t="s">
        <v>28</v>
      </c>
      <c r="M33" t="s">
        <v>55</v>
      </c>
      <c r="N33" t="s">
        <v>30</v>
      </c>
      <c r="O33" t="s">
        <v>67</v>
      </c>
      <c r="P33">
        <v>1</v>
      </c>
      <c r="Q33">
        <v>2</v>
      </c>
      <c r="R33" t="s">
        <v>32</v>
      </c>
      <c r="S33" s="2">
        <v>0.87430555555555556</v>
      </c>
      <c r="T33" t="s">
        <v>43</v>
      </c>
      <c r="U33">
        <v>6381</v>
      </c>
      <c r="V33" t="s">
        <v>95</v>
      </c>
    </row>
    <row r="34" spans="1:22" x14ac:dyDescent="0.35">
      <c r="A34" s="1">
        <v>45748</v>
      </c>
      <c r="B34">
        <v>123584788</v>
      </c>
      <c r="C34">
        <v>1993</v>
      </c>
      <c r="D34" t="s">
        <v>88</v>
      </c>
      <c r="E34" t="s">
        <v>44</v>
      </c>
      <c r="F34" t="s">
        <v>61</v>
      </c>
      <c r="G34" t="s">
        <v>62</v>
      </c>
      <c r="H34" t="s">
        <v>25</v>
      </c>
      <c r="I34" t="s">
        <v>38</v>
      </c>
      <c r="J34">
        <v>1.151</v>
      </c>
      <c r="K34" t="s">
        <v>63</v>
      </c>
      <c r="L34" t="s">
        <v>28</v>
      </c>
      <c r="M34" t="s">
        <v>55</v>
      </c>
      <c r="N34" t="s">
        <v>30</v>
      </c>
      <c r="O34" t="s">
        <v>42</v>
      </c>
      <c r="P34">
        <v>5</v>
      </c>
      <c r="Q34">
        <v>1</v>
      </c>
      <c r="R34" t="s">
        <v>89</v>
      </c>
      <c r="S34" s="2">
        <v>0.88749999999999996</v>
      </c>
      <c r="T34" t="s">
        <v>43</v>
      </c>
      <c r="U34">
        <v>61857</v>
      </c>
      <c r="V34" t="s">
        <v>108</v>
      </c>
    </row>
    <row r="35" spans="1:22" x14ac:dyDescent="0.35">
      <c r="A35" s="1">
        <v>45658</v>
      </c>
      <c r="B35">
        <v>123805555</v>
      </c>
      <c r="C35">
        <v>1988</v>
      </c>
      <c r="D35" t="s">
        <v>60</v>
      </c>
      <c r="E35" t="s">
        <v>44</v>
      </c>
      <c r="F35" t="s">
        <v>57</v>
      </c>
      <c r="G35" t="s">
        <v>58</v>
      </c>
      <c r="H35" t="s">
        <v>25</v>
      </c>
      <c r="I35" t="s">
        <v>38</v>
      </c>
      <c r="J35">
        <v>1.0069999999999999</v>
      </c>
      <c r="K35" t="s">
        <v>59</v>
      </c>
      <c r="L35" t="s">
        <v>28</v>
      </c>
      <c r="M35" t="s">
        <v>29</v>
      </c>
      <c r="N35" t="s">
        <v>30</v>
      </c>
      <c r="O35" t="s">
        <v>42</v>
      </c>
      <c r="P35">
        <v>3</v>
      </c>
      <c r="Q35">
        <v>1</v>
      </c>
      <c r="R35" t="s">
        <v>89</v>
      </c>
      <c r="S35" s="2">
        <v>0.84097222222222223</v>
      </c>
      <c r="T35" t="s">
        <v>43</v>
      </c>
      <c r="U35">
        <v>31904</v>
      </c>
      <c r="V35" t="s">
        <v>107</v>
      </c>
    </row>
    <row r="36" spans="1:22" x14ac:dyDescent="0.35">
      <c r="A36" s="1">
        <v>45748</v>
      </c>
      <c r="B36">
        <v>123959643</v>
      </c>
      <c r="C36">
        <v>1992</v>
      </c>
      <c r="D36" t="s">
        <v>88</v>
      </c>
      <c r="E36" t="s">
        <v>22</v>
      </c>
      <c r="F36" t="s">
        <v>57</v>
      </c>
      <c r="G36" t="s">
        <v>58</v>
      </c>
      <c r="H36" t="s">
        <v>25</v>
      </c>
      <c r="I36" t="s">
        <v>38</v>
      </c>
      <c r="J36">
        <v>1.095</v>
      </c>
      <c r="K36" t="s">
        <v>59</v>
      </c>
      <c r="L36" t="s">
        <v>28</v>
      </c>
      <c r="M36" t="s">
        <v>55</v>
      </c>
      <c r="N36" t="s">
        <v>30</v>
      </c>
      <c r="O36" t="s">
        <v>42</v>
      </c>
      <c r="P36">
        <v>6</v>
      </c>
      <c r="Q36">
        <v>2</v>
      </c>
      <c r="R36" t="s">
        <v>89</v>
      </c>
      <c r="S36" s="2">
        <v>0.71875</v>
      </c>
      <c r="T36" t="s">
        <v>43</v>
      </c>
      <c r="U36">
        <v>96857</v>
      </c>
      <c r="V36" t="s">
        <v>108</v>
      </c>
    </row>
    <row r="37" spans="1:22" x14ac:dyDescent="0.35">
      <c r="A37" s="1">
        <v>45717</v>
      </c>
      <c r="B37">
        <v>123740921</v>
      </c>
      <c r="C37">
        <v>1991</v>
      </c>
      <c r="D37" t="s">
        <v>50</v>
      </c>
      <c r="E37" t="s">
        <v>22</v>
      </c>
      <c r="F37" t="s">
        <v>70</v>
      </c>
      <c r="G37" t="s">
        <v>71</v>
      </c>
      <c r="H37" t="s">
        <v>37</v>
      </c>
      <c r="I37" t="s">
        <v>38</v>
      </c>
      <c r="J37">
        <v>1.1080000000000001</v>
      </c>
      <c r="K37" t="s">
        <v>72</v>
      </c>
      <c r="L37" t="s">
        <v>28</v>
      </c>
      <c r="M37" t="s">
        <v>29</v>
      </c>
      <c r="N37" t="s">
        <v>30</v>
      </c>
      <c r="O37" t="s">
        <v>31</v>
      </c>
      <c r="P37">
        <v>0</v>
      </c>
      <c r="Q37">
        <v>2</v>
      </c>
      <c r="R37" t="s">
        <v>32</v>
      </c>
      <c r="S37" s="2">
        <v>0.42569444444444443</v>
      </c>
      <c r="T37" t="s">
        <v>33</v>
      </c>
      <c r="U37">
        <v>1154</v>
      </c>
      <c r="V37" t="s">
        <v>102</v>
      </c>
    </row>
    <row r="38" spans="1:22" x14ac:dyDescent="0.35">
      <c r="A38" s="1">
        <v>45809</v>
      </c>
      <c r="B38">
        <v>123909400</v>
      </c>
      <c r="C38">
        <v>1982</v>
      </c>
      <c r="D38" t="s">
        <v>60</v>
      </c>
      <c r="E38" t="s">
        <v>44</v>
      </c>
      <c r="F38" t="s">
        <v>70</v>
      </c>
      <c r="G38" t="s">
        <v>71</v>
      </c>
      <c r="H38" t="s">
        <v>37</v>
      </c>
      <c r="I38" t="s">
        <v>38</v>
      </c>
      <c r="J38">
        <v>0.99199999999999999</v>
      </c>
      <c r="K38" t="s">
        <v>72</v>
      </c>
      <c r="L38" t="s">
        <v>28</v>
      </c>
      <c r="M38" t="s">
        <v>64</v>
      </c>
      <c r="N38" t="s">
        <v>30</v>
      </c>
      <c r="O38" t="s">
        <v>42</v>
      </c>
      <c r="P38">
        <v>5</v>
      </c>
      <c r="Q38">
        <v>1</v>
      </c>
      <c r="R38" t="s">
        <v>89</v>
      </c>
      <c r="S38" s="2">
        <v>0.54305555555555551</v>
      </c>
      <c r="T38" t="s">
        <v>43</v>
      </c>
      <c r="U38">
        <v>69475</v>
      </c>
      <c r="V38" t="s">
        <v>100</v>
      </c>
    </row>
    <row r="39" spans="1:22" x14ac:dyDescent="0.35">
      <c r="A39" s="1">
        <v>45931</v>
      </c>
      <c r="B39">
        <v>123484267</v>
      </c>
      <c r="C39">
        <v>1997</v>
      </c>
      <c r="D39" t="s">
        <v>50</v>
      </c>
      <c r="E39" t="s">
        <v>44</v>
      </c>
      <c r="F39" t="s">
        <v>74</v>
      </c>
      <c r="G39" t="s">
        <v>75</v>
      </c>
      <c r="H39" t="s">
        <v>37</v>
      </c>
      <c r="I39" t="s">
        <v>38</v>
      </c>
      <c r="J39">
        <v>1.1839999999999999</v>
      </c>
      <c r="K39" t="s">
        <v>76</v>
      </c>
      <c r="L39" t="s">
        <v>65</v>
      </c>
      <c r="M39" t="s">
        <v>73</v>
      </c>
      <c r="N39" t="s">
        <v>30</v>
      </c>
      <c r="O39" t="s">
        <v>42</v>
      </c>
      <c r="P39">
        <v>5</v>
      </c>
      <c r="Q39">
        <v>1</v>
      </c>
      <c r="R39" t="s">
        <v>89</v>
      </c>
      <c r="S39" s="2">
        <v>0.66874999999999996</v>
      </c>
      <c r="T39" t="s">
        <v>43</v>
      </c>
      <c r="U39">
        <v>70638</v>
      </c>
      <c r="V39" t="s">
        <v>104</v>
      </c>
    </row>
    <row r="40" spans="1:22" x14ac:dyDescent="0.35">
      <c r="A40" s="1">
        <v>45870</v>
      </c>
      <c r="B40">
        <v>123675826</v>
      </c>
      <c r="C40">
        <v>1983</v>
      </c>
      <c r="D40" t="s">
        <v>56</v>
      </c>
      <c r="E40" t="s">
        <v>22</v>
      </c>
      <c r="F40" t="s">
        <v>23</v>
      </c>
      <c r="G40" t="s">
        <v>24</v>
      </c>
      <c r="H40" t="s">
        <v>25</v>
      </c>
      <c r="I40" t="s">
        <v>38</v>
      </c>
      <c r="J40">
        <v>0.94599999999999995</v>
      </c>
      <c r="K40" t="s">
        <v>27</v>
      </c>
      <c r="L40" t="s">
        <v>65</v>
      </c>
      <c r="M40" t="s">
        <v>66</v>
      </c>
      <c r="N40" t="s">
        <v>30</v>
      </c>
      <c r="O40" t="s">
        <v>67</v>
      </c>
      <c r="P40">
        <v>1</v>
      </c>
      <c r="Q40">
        <v>1</v>
      </c>
      <c r="R40" t="s">
        <v>32</v>
      </c>
      <c r="S40" s="2">
        <v>0.43472222222222223</v>
      </c>
      <c r="T40" t="s">
        <v>33</v>
      </c>
      <c r="U40">
        <v>7562</v>
      </c>
      <c r="V40" t="s">
        <v>109</v>
      </c>
    </row>
    <row r="41" spans="1:22" x14ac:dyDescent="0.35">
      <c r="A41" s="1">
        <v>45689</v>
      </c>
      <c r="B41">
        <v>123831023</v>
      </c>
      <c r="C41">
        <v>1964</v>
      </c>
      <c r="D41" t="s">
        <v>60</v>
      </c>
      <c r="E41" t="s">
        <v>44</v>
      </c>
      <c r="F41" t="s">
        <v>35</v>
      </c>
      <c r="G41" t="s">
        <v>36</v>
      </c>
      <c r="H41" t="s">
        <v>37</v>
      </c>
      <c r="I41" t="s">
        <v>38</v>
      </c>
      <c r="J41">
        <v>0.94799999999999995</v>
      </c>
      <c r="K41" t="s">
        <v>39</v>
      </c>
      <c r="L41" t="s">
        <v>28</v>
      </c>
      <c r="M41" t="s">
        <v>29</v>
      </c>
      <c r="N41" t="s">
        <v>30</v>
      </c>
      <c r="O41" t="s">
        <v>31</v>
      </c>
      <c r="P41">
        <v>0</v>
      </c>
      <c r="Q41">
        <v>1</v>
      </c>
      <c r="R41" t="s">
        <v>89</v>
      </c>
      <c r="S41" s="2">
        <v>0.56597222222222221</v>
      </c>
      <c r="T41" t="s">
        <v>43</v>
      </c>
      <c r="U41">
        <v>1046</v>
      </c>
      <c r="V41" t="s">
        <v>99</v>
      </c>
    </row>
    <row r="42" spans="1:22" x14ac:dyDescent="0.35">
      <c r="A42" s="1">
        <v>45931</v>
      </c>
      <c r="B42">
        <v>123911398</v>
      </c>
      <c r="C42">
        <v>1979</v>
      </c>
      <c r="D42" t="s">
        <v>56</v>
      </c>
      <c r="E42" t="s">
        <v>44</v>
      </c>
      <c r="F42" t="s">
        <v>61</v>
      </c>
      <c r="G42" t="s">
        <v>62</v>
      </c>
      <c r="H42" t="s">
        <v>25</v>
      </c>
      <c r="I42" t="s">
        <v>38</v>
      </c>
      <c r="J42">
        <v>1.0820000000000001</v>
      </c>
      <c r="K42" t="s">
        <v>63</v>
      </c>
      <c r="L42" t="s">
        <v>65</v>
      </c>
      <c r="M42" t="s">
        <v>66</v>
      </c>
      <c r="N42" t="s">
        <v>30</v>
      </c>
      <c r="O42" t="s">
        <v>42</v>
      </c>
      <c r="P42">
        <v>6</v>
      </c>
      <c r="Q42">
        <v>2</v>
      </c>
      <c r="R42" t="s">
        <v>89</v>
      </c>
      <c r="S42" s="2">
        <v>0.46388888888888891</v>
      </c>
      <c r="T42" t="s">
        <v>33</v>
      </c>
      <c r="U42">
        <v>9763</v>
      </c>
      <c r="V42" t="s">
        <v>104</v>
      </c>
    </row>
    <row r="43" spans="1:22" x14ac:dyDescent="0.35">
      <c r="A43" s="1">
        <v>45962</v>
      </c>
      <c r="B43">
        <v>123586493</v>
      </c>
      <c r="C43">
        <v>2000</v>
      </c>
      <c r="D43" t="s">
        <v>91</v>
      </c>
      <c r="E43" t="s">
        <v>22</v>
      </c>
      <c r="F43" t="s">
        <v>57</v>
      </c>
      <c r="G43" t="s">
        <v>58</v>
      </c>
      <c r="H43" t="s">
        <v>25</v>
      </c>
      <c r="I43" t="s">
        <v>26</v>
      </c>
      <c r="J43">
        <v>0.98699999999999999</v>
      </c>
      <c r="K43" t="s">
        <v>59</v>
      </c>
      <c r="L43" t="s">
        <v>28</v>
      </c>
      <c r="M43" t="s">
        <v>29</v>
      </c>
      <c r="N43" t="s">
        <v>30</v>
      </c>
      <c r="O43" t="s">
        <v>42</v>
      </c>
      <c r="P43">
        <v>4</v>
      </c>
      <c r="Q43">
        <v>1</v>
      </c>
      <c r="R43" t="s">
        <v>32</v>
      </c>
      <c r="S43" s="2">
        <v>0.29236111111111113</v>
      </c>
      <c r="T43" t="s">
        <v>33</v>
      </c>
      <c r="U43">
        <v>43028</v>
      </c>
      <c r="V43" t="s">
        <v>106</v>
      </c>
    </row>
    <row r="44" spans="1:22" x14ac:dyDescent="0.35">
      <c r="A44" s="1">
        <v>45778</v>
      </c>
      <c r="B44">
        <v>123988885</v>
      </c>
      <c r="C44">
        <v>1985</v>
      </c>
      <c r="D44" t="s">
        <v>60</v>
      </c>
      <c r="E44" t="s">
        <v>44</v>
      </c>
      <c r="F44" t="s">
        <v>23</v>
      </c>
      <c r="G44" t="s">
        <v>24</v>
      </c>
      <c r="H44" t="s">
        <v>25</v>
      </c>
      <c r="I44" t="s">
        <v>26</v>
      </c>
      <c r="J44">
        <v>1.111</v>
      </c>
      <c r="K44" t="s">
        <v>27</v>
      </c>
      <c r="L44" t="s">
        <v>28</v>
      </c>
      <c r="M44" t="s">
        <v>55</v>
      </c>
      <c r="N44" t="s">
        <v>30</v>
      </c>
      <c r="O44" t="s">
        <v>31</v>
      </c>
      <c r="P44">
        <v>0</v>
      </c>
      <c r="Q44">
        <v>3</v>
      </c>
      <c r="R44" t="s">
        <v>89</v>
      </c>
      <c r="S44" s="2">
        <v>0.75486111111111109</v>
      </c>
      <c r="T44" t="s">
        <v>43</v>
      </c>
      <c r="U44">
        <v>731</v>
      </c>
      <c r="V44" t="s">
        <v>95</v>
      </c>
    </row>
    <row r="45" spans="1:22" x14ac:dyDescent="0.35">
      <c r="A45" s="1">
        <v>45901</v>
      </c>
      <c r="B45">
        <v>123880035</v>
      </c>
      <c r="C45">
        <v>2002</v>
      </c>
      <c r="D45" t="s">
        <v>69</v>
      </c>
      <c r="E45" t="s">
        <v>44</v>
      </c>
      <c r="F45" t="s">
        <v>61</v>
      </c>
      <c r="G45" t="s">
        <v>62</v>
      </c>
      <c r="H45" t="s">
        <v>25</v>
      </c>
      <c r="I45" t="s">
        <v>38</v>
      </c>
      <c r="J45">
        <v>1.0900000000000001</v>
      </c>
      <c r="K45" t="s">
        <v>63</v>
      </c>
      <c r="L45" t="s">
        <v>28</v>
      </c>
      <c r="M45" t="s">
        <v>64</v>
      </c>
      <c r="N45" t="s">
        <v>30</v>
      </c>
      <c r="O45" t="s">
        <v>42</v>
      </c>
      <c r="P45">
        <v>4</v>
      </c>
      <c r="Q45">
        <v>1</v>
      </c>
      <c r="R45" t="s">
        <v>32</v>
      </c>
      <c r="S45" s="2">
        <v>0.34791666666666665</v>
      </c>
      <c r="T45" t="s">
        <v>33</v>
      </c>
      <c r="U45">
        <v>16447</v>
      </c>
      <c r="V45" t="s">
        <v>101</v>
      </c>
    </row>
    <row r="46" spans="1:22" x14ac:dyDescent="0.35">
      <c r="A46" s="1">
        <v>45689</v>
      </c>
      <c r="B46">
        <v>123805510</v>
      </c>
      <c r="C46">
        <v>1986</v>
      </c>
      <c r="D46" t="s">
        <v>60</v>
      </c>
      <c r="E46" t="s">
        <v>44</v>
      </c>
      <c r="F46" t="s">
        <v>83</v>
      </c>
      <c r="G46" t="s">
        <v>84</v>
      </c>
      <c r="H46" t="s">
        <v>53</v>
      </c>
      <c r="I46" t="s">
        <v>38</v>
      </c>
      <c r="J46">
        <v>0.88900000000000001</v>
      </c>
      <c r="K46" t="s">
        <v>85</v>
      </c>
      <c r="L46" t="s">
        <v>40</v>
      </c>
      <c r="M46" t="s">
        <v>41</v>
      </c>
      <c r="N46" t="s">
        <v>30</v>
      </c>
      <c r="O46" t="s">
        <v>31</v>
      </c>
      <c r="P46">
        <v>0</v>
      </c>
      <c r="Q46">
        <v>1</v>
      </c>
      <c r="R46" t="s">
        <v>32</v>
      </c>
      <c r="S46" s="2">
        <v>0.31805555555555554</v>
      </c>
      <c r="T46" t="s">
        <v>33</v>
      </c>
      <c r="U46">
        <v>795</v>
      </c>
      <c r="V46" t="s">
        <v>99</v>
      </c>
    </row>
    <row r="47" spans="1:22" x14ac:dyDescent="0.35">
      <c r="A47" s="1">
        <v>45931</v>
      </c>
      <c r="B47">
        <v>123905373</v>
      </c>
      <c r="C47">
        <v>2002</v>
      </c>
      <c r="D47" t="s">
        <v>92</v>
      </c>
      <c r="E47" t="s">
        <v>44</v>
      </c>
      <c r="F47" t="s">
        <v>23</v>
      </c>
      <c r="G47" t="s">
        <v>24</v>
      </c>
      <c r="H47" t="s">
        <v>25</v>
      </c>
      <c r="I47" t="s">
        <v>38</v>
      </c>
      <c r="J47">
        <v>1.022</v>
      </c>
      <c r="K47" t="s">
        <v>27</v>
      </c>
      <c r="L47" t="s">
        <v>48</v>
      </c>
      <c r="M47" t="s">
        <v>87</v>
      </c>
      <c r="N47" t="s">
        <v>30</v>
      </c>
      <c r="O47" t="s">
        <v>67</v>
      </c>
      <c r="P47">
        <v>1</v>
      </c>
      <c r="Q47">
        <v>1</v>
      </c>
      <c r="R47" t="s">
        <v>89</v>
      </c>
      <c r="S47" s="2">
        <v>0.33194444444444443</v>
      </c>
      <c r="T47" t="s">
        <v>33</v>
      </c>
      <c r="U47">
        <v>6359</v>
      </c>
      <c r="V47" t="s">
        <v>104</v>
      </c>
    </row>
    <row r="48" spans="1:22" x14ac:dyDescent="0.35">
      <c r="A48" s="1">
        <v>45870</v>
      </c>
      <c r="B48">
        <v>123735736</v>
      </c>
      <c r="C48">
        <v>1961</v>
      </c>
      <c r="D48" t="s">
        <v>88</v>
      </c>
      <c r="E48" t="s">
        <v>44</v>
      </c>
      <c r="F48" t="s">
        <v>74</v>
      </c>
      <c r="G48" t="s">
        <v>75</v>
      </c>
      <c r="H48" t="s">
        <v>37</v>
      </c>
      <c r="I48" t="s">
        <v>38</v>
      </c>
      <c r="J48">
        <v>1.1579999999999999</v>
      </c>
      <c r="K48" t="s">
        <v>76</v>
      </c>
      <c r="L48" t="s">
        <v>28</v>
      </c>
      <c r="M48" t="s">
        <v>64</v>
      </c>
      <c r="N48" t="s">
        <v>30</v>
      </c>
      <c r="O48" t="s">
        <v>31</v>
      </c>
      <c r="P48">
        <v>0</v>
      </c>
      <c r="Q48">
        <v>3</v>
      </c>
      <c r="R48" t="s">
        <v>89</v>
      </c>
      <c r="S48" s="2">
        <v>0.80486111111111114</v>
      </c>
      <c r="T48" t="s">
        <v>43</v>
      </c>
      <c r="U48">
        <v>238</v>
      </c>
      <c r="V48" t="s">
        <v>109</v>
      </c>
    </row>
    <row r="49" spans="1:22" x14ac:dyDescent="0.35">
      <c r="A49" s="1">
        <v>45931</v>
      </c>
      <c r="B49">
        <v>123707762</v>
      </c>
      <c r="C49">
        <v>1997</v>
      </c>
      <c r="D49" t="s">
        <v>82</v>
      </c>
      <c r="E49" t="s">
        <v>22</v>
      </c>
      <c r="F49" t="s">
        <v>70</v>
      </c>
      <c r="G49" t="s">
        <v>71</v>
      </c>
      <c r="H49" t="s">
        <v>37</v>
      </c>
      <c r="I49" t="s">
        <v>38</v>
      </c>
      <c r="J49">
        <v>0.97599999999999998</v>
      </c>
      <c r="K49" t="s">
        <v>72</v>
      </c>
      <c r="L49" t="s">
        <v>48</v>
      </c>
      <c r="M49" t="s">
        <v>87</v>
      </c>
      <c r="N49" t="s">
        <v>30</v>
      </c>
      <c r="O49" t="s">
        <v>31</v>
      </c>
      <c r="P49">
        <v>0</v>
      </c>
      <c r="Q49">
        <v>2</v>
      </c>
      <c r="R49" t="s">
        <v>89</v>
      </c>
      <c r="S49" s="2">
        <v>0.2590277777777778</v>
      </c>
      <c r="T49" t="s">
        <v>33</v>
      </c>
      <c r="U49">
        <v>1263</v>
      </c>
      <c r="V49" t="s">
        <v>104</v>
      </c>
    </row>
    <row r="50" spans="1:22" x14ac:dyDescent="0.35">
      <c r="A50" s="1">
        <v>45839</v>
      </c>
      <c r="B50">
        <v>123882570</v>
      </c>
      <c r="C50">
        <v>2003</v>
      </c>
      <c r="D50" t="s">
        <v>50</v>
      </c>
      <c r="E50" t="s">
        <v>22</v>
      </c>
      <c r="F50" t="s">
        <v>51</v>
      </c>
      <c r="G50" t="s">
        <v>52</v>
      </c>
      <c r="H50" t="s">
        <v>53</v>
      </c>
      <c r="I50" t="s">
        <v>38</v>
      </c>
      <c r="J50">
        <v>1.0509999999999999</v>
      </c>
      <c r="K50" t="s">
        <v>54</v>
      </c>
      <c r="L50" t="s">
        <v>48</v>
      </c>
      <c r="M50" t="s">
        <v>49</v>
      </c>
      <c r="N50" t="s">
        <v>30</v>
      </c>
      <c r="O50" t="s">
        <v>42</v>
      </c>
      <c r="P50">
        <v>4</v>
      </c>
      <c r="Q50">
        <v>2</v>
      </c>
      <c r="R50" t="s">
        <v>32</v>
      </c>
      <c r="S50" s="2">
        <v>0.8256944444444444</v>
      </c>
      <c r="T50" t="s">
        <v>43</v>
      </c>
      <c r="U50">
        <v>24119</v>
      </c>
      <c r="V50" t="s">
        <v>105</v>
      </c>
    </row>
    <row r="51" spans="1:22" x14ac:dyDescent="0.35">
      <c r="A51" s="1">
        <v>45809</v>
      </c>
      <c r="B51">
        <v>123665488</v>
      </c>
      <c r="C51">
        <v>2003</v>
      </c>
      <c r="D51" t="s">
        <v>92</v>
      </c>
      <c r="E51" t="s">
        <v>44</v>
      </c>
      <c r="F51" t="s">
        <v>57</v>
      </c>
      <c r="G51" t="s">
        <v>58</v>
      </c>
      <c r="H51" t="s">
        <v>25</v>
      </c>
      <c r="I51" t="s">
        <v>38</v>
      </c>
      <c r="J51">
        <v>1.091</v>
      </c>
      <c r="K51" t="s">
        <v>59</v>
      </c>
      <c r="L51" t="s">
        <v>28</v>
      </c>
      <c r="M51" t="s">
        <v>55</v>
      </c>
      <c r="N51" t="s">
        <v>30</v>
      </c>
      <c r="O51" t="s">
        <v>42</v>
      </c>
      <c r="P51">
        <v>3</v>
      </c>
      <c r="Q51">
        <v>3</v>
      </c>
      <c r="R51" t="s">
        <v>32</v>
      </c>
      <c r="S51" s="2">
        <v>0.65069444444444446</v>
      </c>
      <c r="T51" t="s">
        <v>43</v>
      </c>
      <c r="U51">
        <v>72650</v>
      </c>
      <c r="V51" t="s">
        <v>100</v>
      </c>
    </row>
    <row r="52" spans="1:22" x14ac:dyDescent="0.35">
      <c r="A52" s="1">
        <v>45839</v>
      </c>
      <c r="B52">
        <v>123829273</v>
      </c>
      <c r="C52">
        <v>1957</v>
      </c>
      <c r="D52" t="s">
        <v>34</v>
      </c>
      <c r="E52" t="s">
        <v>22</v>
      </c>
      <c r="F52" t="s">
        <v>35</v>
      </c>
      <c r="G52" t="s">
        <v>36</v>
      </c>
      <c r="H52" t="s">
        <v>37</v>
      </c>
      <c r="I52" t="s">
        <v>38</v>
      </c>
      <c r="J52">
        <v>0.98299999999999998</v>
      </c>
      <c r="K52" t="s">
        <v>39</v>
      </c>
      <c r="L52" t="s">
        <v>65</v>
      </c>
      <c r="M52" t="s">
        <v>66</v>
      </c>
      <c r="N52" t="s">
        <v>30</v>
      </c>
      <c r="O52" t="s">
        <v>42</v>
      </c>
      <c r="P52">
        <v>5</v>
      </c>
      <c r="Q52">
        <v>2</v>
      </c>
      <c r="R52" t="s">
        <v>89</v>
      </c>
      <c r="S52" s="2">
        <v>0.33750000000000002</v>
      </c>
      <c r="T52" t="s">
        <v>33</v>
      </c>
      <c r="U52">
        <v>95260</v>
      </c>
      <c r="V52" t="s">
        <v>105</v>
      </c>
    </row>
    <row r="53" spans="1:22" x14ac:dyDescent="0.35">
      <c r="A53" s="1">
        <v>45839</v>
      </c>
      <c r="B53">
        <v>123803921</v>
      </c>
      <c r="C53">
        <v>1985</v>
      </c>
      <c r="D53" t="s">
        <v>88</v>
      </c>
      <c r="E53" t="s">
        <v>44</v>
      </c>
      <c r="F53" t="s">
        <v>51</v>
      </c>
      <c r="G53" t="s">
        <v>52</v>
      </c>
      <c r="H53" t="s">
        <v>53</v>
      </c>
      <c r="I53" t="s">
        <v>38</v>
      </c>
      <c r="J53">
        <v>1.0660000000000001</v>
      </c>
      <c r="K53" t="s">
        <v>54</v>
      </c>
      <c r="L53" t="s">
        <v>28</v>
      </c>
      <c r="M53" t="s">
        <v>29</v>
      </c>
      <c r="N53" t="s">
        <v>30</v>
      </c>
      <c r="O53" t="s">
        <v>42</v>
      </c>
      <c r="P53">
        <v>4</v>
      </c>
      <c r="Q53">
        <v>2</v>
      </c>
      <c r="R53" t="s">
        <v>89</v>
      </c>
      <c r="S53" s="2">
        <v>0.88124999999999998</v>
      </c>
      <c r="T53" t="s">
        <v>43</v>
      </c>
      <c r="U53">
        <v>46494</v>
      </c>
      <c r="V53" t="s">
        <v>105</v>
      </c>
    </row>
    <row r="54" spans="1:22" x14ac:dyDescent="0.35">
      <c r="A54" s="1">
        <v>45689</v>
      </c>
      <c r="B54">
        <v>123532033</v>
      </c>
      <c r="C54">
        <v>1978</v>
      </c>
      <c r="D54" t="s">
        <v>60</v>
      </c>
      <c r="E54" t="s">
        <v>44</v>
      </c>
      <c r="F54" t="s">
        <v>45</v>
      </c>
      <c r="G54" t="s">
        <v>46</v>
      </c>
      <c r="H54" t="s">
        <v>37</v>
      </c>
      <c r="I54" t="s">
        <v>38</v>
      </c>
      <c r="J54">
        <v>0.94199999999999995</v>
      </c>
      <c r="K54" t="s">
        <v>47</v>
      </c>
      <c r="L54" t="s">
        <v>28</v>
      </c>
      <c r="M54" t="s">
        <v>29</v>
      </c>
      <c r="N54" t="s">
        <v>30</v>
      </c>
      <c r="O54" t="s">
        <v>67</v>
      </c>
      <c r="P54">
        <v>1</v>
      </c>
      <c r="Q54">
        <v>2</v>
      </c>
      <c r="R54" t="s">
        <v>32</v>
      </c>
      <c r="S54" s="2">
        <v>0.5229166666666667</v>
      </c>
      <c r="T54" t="s">
        <v>43</v>
      </c>
      <c r="U54">
        <v>3121</v>
      </c>
      <c r="V54" t="s">
        <v>99</v>
      </c>
    </row>
    <row r="55" spans="1:22" x14ac:dyDescent="0.35">
      <c r="A55" s="1">
        <v>45809</v>
      </c>
      <c r="B55">
        <v>123691888</v>
      </c>
      <c r="C55">
        <v>1999</v>
      </c>
      <c r="D55" t="s">
        <v>60</v>
      </c>
      <c r="E55" t="s">
        <v>44</v>
      </c>
      <c r="F55" t="s">
        <v>70</v>
      </c>
      <c r="G55" t="s">
        <v>71</v>
      </c>
      <c r="H55" t="s">
        <v>37</v>
      </c>
      <c r="I55" t="s">
        <v>38</v>
      </c>
      <c r="J55">
        <v>1.097</v>
      </c>
      <c r="K55" t="s">
        <v>72</v>
      </c>
      <c r="L55" t="s">
        <v>48</v>
      </c>
      <c r="M55" t="s">
        <v>87</v>
      </c>
      <c r="N55" t="s">
        <v>30</v>
      </c>
      <c r="O55" t="s">
        <v>42</v>
      </c>
      <c r="P55">
        <v>5</v>
      </c>
      <c r="Q55">
        <v>2</v>
      </c>
      <c r="R55" t="s">
        <v>32</v>
      </c>
      <c r="S55" s="2">
        <v>0.48958333333333331</v>
      </c>
      <c r="T55" t="s">
        <v>33</v>
      </c>
      <c r="U55">
        <v>8301</v>
      </c>
      <c r="V55" t="s">
        <v>100</v>
      </c>
    </row>
    <row r="56" spans="1:22" x14ac:dyDescent="0.35">
      <c r="A56" s="1">
        <v>45901</v>
      </c>
      <c r="B56">
        <v>123715964</v>
      </c>
      <c r="C56">
        <v>2004</v>
      </c>
      <c r="D56" t="s">
        <v>34</v>
      </c>
      <c r="E56" t="s">
        <v>44</v>
      </c>
      <c r="F56" t="s">
        <v>83</v>
      </c>
      <c r="G56" t="s">
        <v>84</v>
      </c>
      <c r="H56" t="s">
        <v>53</v>
      </c>
      <c r="I56" t="s">
        <v>38</v>
      </c>
      <c r="J56">
        <v>1.0920000000000001</v>
      </c>
      <c r="K56" t="s">
        <v>85</v>
      </c>
      <c r="L56" t="s">
        <v>28</v>
      </c>
      <c r="M56" t="s">
        <v>55</v>
      </c>
      <c r="N56" t="s">
        <v>30</v>
      </c>
      <c r="O56" t="s">
        <v>31</v>
      </c>
      <c r="P56">
        <v>0</v>
      </c>
      <c r="Q56">
        <v>3</v>
      </c>
      <c r="R56" t="s">
        <v>89</v>
      </c>
      <c r="S56" s="2">
        <v>0.38194444444444442</v>
      </c>
      <c r="T56" t="s">
        <v>33</v>
      </c>
      <c r="U56">
        <v>1482</v>
      </c>
      <c r="V56" t="s">
        <v>101</v>
      </c>
    </row>
    <row r="57" spans="1:22" x14ac:dyDescent="0.35">
      <c r="A57" s="1">
        <v>45809</v>
      </c>
      <c r="B57">
        <v>123682787</v>
      </c>
      <c r="C57">
        <v>1995</v>
      </c>
      <c r="D57" t="s">
        <v>50</v>
      </c>
      <c r="E57" t="s">
        <v>44</v>
      </c>
      <c r="F57" t="s">
        <v>45</v>
      </c>
      <c r="G57" t="s">
        <v>46</v>
      </c>
      <c r="H57" t="s">
        <v>37</v>
      </c>
      <c r="I57" t="s">
        <v>38</v>
      </c>
      <c r="J57">
        <v>1.002</v>
      </c>
      <c r="K57" t="s">
        <v>47</v>
      </c>
      <c r="L57" t="s">
        <v>65</v>
      </c>
      <c r="M57" t="s">
        <v>66</v>
      </c>
      <c r="N57" t="s">
        <v>30</v>
      </c>
      <c r="O57" t="s">
        <v>42</v>
      </c>
      <c r="P57">
        <v>4</v>
      </c>
      <c r="Q57">
        <v>2</v>
      </c>
      <c r="R57" t="s">
        <v>32</v>
      </c>
      <c r="S57" s="2">
        <v>0.60138888888888886</v>
      </c>
      <c r="T57" t="s">
        <v>43</v>
      </c>
      <c r="U57">
        <v>36156</v>
      </c>
      <c r="V57" t="s">
        <v>100</v>
      </c>
    </row>
    <row r="58" spans="1:22" x14ac:dyDescent="0.35">
      <c r="A58" s="1">
        <v>45962</v>
      </c>
      <c r="B58">
        <v>123784671</v>
      </c>
      <c r="C58">
        <v>1999</v>
      </c>
      <c r="D58" t="s">
        <v>60</v>
      </c>
      <c r="E58" t="s">
        <v>44</v>
      </c>
      <c r="F58" t="s">
        <v>78</v>
      </c>
      <c r="G58" t="s">
        <v>79</v>
      </c>
      <c r="H58" t="s">
        <v>37</v>
      </c>
      <c r="I58" t="s">
        <v>38</v>
      </c>
      <c r="J58">
        <v>1.1180000000000001</v>
      </c>
      <c r="K58" t="s">
        <v>80</v>
      </c>
      <c r="L58" t="s">
        <v>48</v>
      </c>
      <c r="M58" t="s">
        <v>87</v>
      </c>
      <c r="N58" t="s">
        <v>30</v>
      </c>
      <c r="O58" t="s">
        <v>42</v>
      </c>
      <c r="P58">
        <v>5</v>
      </c>
      <c r="Q58">
        <v>1</v>
      </c>
      <c r="R58" t="s">
        <v>32</v>
      </c>
      <c r="S58" s="2">
        <v>0.72777777777777775</v>
      </c>
      <c r="T58" t="s">
        <v>43</v>
      </c>
      <c r="U58">
        <v>74696</v>
      </c>
      <c r="V58" t="s">
        <v>106</v>
      </c>
    </row>
    <row r="59" spans="1:22" x14ac:dyDescent="0.35">
      <c r="A59" s="1">
        <v>45658</v>
      </c>
      <c r="B59">
        <v>123640000</v>
      </c>
      <c r="C59">
        <v>1988</v>
      </c>
      <c r="D59" t="s">
        <v>60</v>
      </c>
      <c r="E59" t="s">
        <v>44</v>
      </c>
      <c r="F59" t="s">
        <v>78</v>
      </c>
      <c r="G59" t="s">
        <v>79</v>
      </c>
      <c r="H59" t="s">
        <v>37</v>
      </c>
      <c r="I59" t="s">
        <v>38</v>
      </c>
      <c r="J59">
        <v>1.0609999999999999</v>
      </c>
      <c r="K59" t="s">
        <v>80</v>
      </c>
      <c r="L59" t="s">
        <v>28</v>
      </c>
      <c r="M59" t="s">
        <v>55</v>
      </c>
      <c r="N59" t="s">
        <v>30</v>
      </c>
      <c r="O59" t="s">
        <v>42</v>
      </c>
      <c r="P59">
        <v>3</v>
      </c>
      <c r="Q59">
        <v>2</v>
      </c>
      <c r="R59" t="s">
        <v>32</v>
      </c>
      <c r="S59" s="2">
        <v>0.71319444444444446</v>
      </c>
      <c r="T59" t="s">
        <v>43</v>
      </c>
      <c r="U59">
        <v>57511</v>
      </c>
      <c r="V59" t="s">
        <v>107</v>
      </c>
    </row>
    <row r="60" spans="1:22" x14ac:dyDescent="0.35">
      <c r="A60" s="1">
        <v>45839</v>
      </c>
      <c r="B60">
        <v>123634157</v>
      </c>
      <c r="C60">
        <v>2005</v>
      </c>
      <c r="D60" t="s">
        <v>56</v>
      </c>
      <c r="E60" t="s">
        <v>22</v>
      </c>
      <c r="F60" t="s">
        <v>51</v>
      </c>
      <c r="G60" t="s">
        <v>52</v>
      </c>
      <c r="H60" t="s">
        <v>53</v>
      </c>
      <c r="I60" t="s">
        <v>26</v>
      </c>
      <c r="J60">
        <v>1.123</v>
      </c>
      <c r="K60" t="s">
        <v>54</v>
      </c>
      <c r="L60" t="s">
        <v>28</v>
      </c>
      <c r="M60" t="s">
        <v>64</v>
      </c>
      <c r="N60" t="s">
        <v>30</v>
      </c>
      <c r="O60" t="s">
        <v>67</v>
      </c>
      <c r="P60">
        <v>1</v>
      </c>
      <c r="Q60">
        <v>1</v>
      </c>
      <c r="R60" t="s">
        <v>32</v>
      </c>
      <c r="S60" s="2">
        <v>0.29791666666666666</v>
      </c>
      <c r="T60" t="s">
        <v>33</v>
      </c>
      <c r="U60">
        <v>1486</v>
      </c>
      <c r="V60" t="s">
        <v>105</v>
      </c>
    </row>
    <row r="61" spans="1:22" x14ac:dyDescent="0.35">
      <c r="A61" s="1">
        <v>45870</v>
      </c>
      <c r="B61">
        <v>123584082</v>
      </c>
      <c r="C61">
        <v>1994</v>
      </c>
      <c r="D61" t="s">
        <v>60</v>
      </c>
      <c r="E61" t="s">
        <v>44</v>
      </c>
      <c r="F61" t="s">
        <v>61</v>
      </c>
      <c r="G61" t="s">
        <v>62</v>
      </c>
      <c r="H61" t="s">
        <v>25</v>
      </c>
      <c r="I61" t="s">
        <v>26</v>
      </c>
      <c r="J61">
        <v>0.92200000000000004</v>
      </c>
      <c r="K61" t="s">
        <v>63</v>
      </c>
      <c r="L61" t="s">
        <v>48</v>
      </c>
      <c r="M61" t="s">
        <v>87</v>
      </c>
      <c r="N61" t="s">
        <v>30</v>
      </c>
      <c r="O61" t="s">
        <v>42</v>
      </c>
      <c r="P61">
        <v>3</v>
      </c>
      <c r="Q61">
        <v>1</v>
      </c>
      <c r="R61" t="s">
        <v>32</v>
      </c>
      <c r="S61" s="2">
        <v>0.56805555555555554</v>
      </c>
      <c r="T61" t="s">
        <v>43</v>
      </c>
      <c r="U61">
        <v>22764</v>
      </c>
      <c r="V61" t="s">
        <v>109</v>
      </c>
    </row>
    <row r="62" spans="1:22" x14ac:dyDescent="0.35">
      <c r="A62" s="1">
        <v>45778</v>
      </c>
      <c r="B62">
        <v>123887256</v>
      </c>
      <c r="C62">
        <v>1994</v>
      </c>
      <c r="D62" t="s">
        <v>81</v>
      </c>
      <c r="E62" t="s">
        <v>44</v>
      </c>
      <c r="F62" t="s">
        <v>70</v>
      </c>
      <c r="G62" t="s">
        <v>71</v>
      </c>
      <c r="H62" t="s">
        <v>37</v>
      </c>
      <c r="I62" t="s">
        <v>38</v>
      </c>
      <c r="J62">
        <v>1.099</v>
      </c>
      <c r="K62" t="s">
        <v>72</v>
      </c>
      <c r="L62" t="s">
        <v>65</v>
      </c>
      <c r="M62" t="s">
        <v>66</v>
      </c>
      <c r="N62" t="s">
        <v>30</v>
      </c>
      <c r="O62" t="s">
        <v>42</v>
      </c>
      <c r="P62">
        <v>3</v>
      </c>
      <c r="Q62">
        <v>2</v>
      </c>
      <c r="R62" t="s">
        <v>32</v>
      </c>
      <c r="S62" s="2">
        <v>0.68125000000000002</v>
      </c>
      <c r="T62" t="s">
        <v>43</v>
      </c>
      <c r="U62">
        <v>53926</v>
      </c>
      <c r="V62" t="s">
        <v>95</v>
      </c>
    </row>
    <row r="63" spans="1:22" x14ac:dyDescent="0.35">
      <c r="A63" s="1">
        <v>45992</v>
      </c>
      <c r="B63">
        <v>123820938</v>
      </c>
      <c r="C63">
        <v>1998</v>
      </c>
      <c r="D63" t="s">
        <v>21</v>
      </c>
      <c r="E63" t="s">
        <v>22</v>
      </c>
      <c r="F63" t="s">
        <v>57</v>
      </c>
      <c r="G63" t="s">
        <v>58</v>
      </c>
      <c r="H63" t="s">
        <v>25</v>
      </c>
      <c r="I63" t="s">
        <v>38</v>
      </c>
      <c r="J63">
        <v>0.89800000000000002</v>
      </c>
      <c r="K63" t="s">
        <v>59</v>
      </c>
      <c r="L63" t="s">
        <v>28</v>
      </c>
      <c r="M63" t="s">
        <v>29</v>
      </c>
      <c r="N63" t="s">
        <v>30</v>
      </c>
      <c r="O63" t="s">
        <v>31</v>
      </c>
      <c r="P63">
        <v>0</v>
      </c>
      <c r="Q63">
        <v>3</v>
      </c>
      <c r="R63" t="s">
        <v>89</v>
      </c>
      <c r="S63" s="2">
        <v>0.7944444444444444</v>
      </c>
      <c r="T63" t="s">
        <v>43</v>
      </c>
      <c r="U63">
        <v>2806</v>
      </c>
      <c r="V63" t="s">
        <v>103</v>
      </c>
    </row>
    <row r="64" spans="1:22" x14ac:dyDescent="0.35">
      <c r="A64" s="1">
        <v>45748</v>
      </c>
      <c r="B64">
        <v>123920678</v>
      </c>
      <c r="C64">
        <v>1960</v>
      </c>
      <c r="D64" t="s">
        <v>81</v>
      </c>
      <c r="E64" t="s">
        <v>44</v>
      </c>
      <c r="F64" t="s">
        <v>78</v>
      </c>
      <c r="G64" t="s">
        <v>79</v>
      </c>
      <c r="H64" t="s">
        <v>37</v>
      </c>
      <c r="I64" t="s">
        <v>26</v>
      </c>
      <c r="J64">
        <v>0.97199999999999998</v>
      </c>
      <c r="K64" t="s">
        <v>80</v>
      </c>
      <c r="L64" t="s">
        <v>65</v>
      </c>
      <c r="M64" t="s">
        <v>66</v>
      </c>
      <c r="N64" t="s">
        <v>30</v>
      </c>
      <c r="O64" t="s">
        <v>42</v>
      </c>
      <c r="P64">
        <v>3</v>
      </c>
      <c r="Q64">
        <v>2</v>
      </c>
      <c r="R64" t="s">
        <v>89</v>
      </c>
      <c r="S64" s="2">
        <v>0.42777777777777776</v>
      </c>
      <c r="T64" t="s">
        <v>33</v>
      </c>
      <c r="U64">
        <v>56370</v>
      </c>
      <c r="V64" t="s">
        <v>108</v>
      </c>
    </row>
    <row r="65" spans="1:22" x14ac:dyDescent="0.35">
      <c r="A65" s="1">
        <v>45962</v>
      </c>
      <c r="B65">
        <v>123634628</v>
      </c>
      <c r="C65">
        <v>1991</v>
      </c>
      <c r="D65" t="s">
        <v>88</v>
      </c>
      <c r="E65" t="s">
        <v>44</v>
      </c>
      <c r="F65" t="s">
        <v>45</v>
      </c>
      <c r="G65" t="s">
        <v>46</v>
      </c>
      <c r="H65" t="s">
        <v>37</v>
      </c>
      <c r="I65" t="s">
        <v>38</v>
      </c>
      <c r="J65">
        <v>0.91900000000000004</v>
      </c>
      <c r="K65" t="s">
        <v>47</v>
      </c>
      <c r="L65" t="s">
        <v>65</v>
      </c>
      <c r="M65" t="s">
        <v>73</v>
      </c>
      <c r="N65" t="s">
        <v>30</v>
      </c>
      <c r="O65" t="s">
        <v>42</v>
      </c>
      <c r="P65">
        <v>4</v>
      </c>
      <c r="Q65">
        <v>1</v>
      </c>
      <c r="R65" t="s">
        <v>32</v>
      </c>
      <c r="S65" s="2">
        <v>0.41597222222222224</v>
      </c>
      <c r="T65" t="s">
        <v>33</v>
      </c>
      <c r="U65">
        <v>8089</v>
      </c>
      <c r="V65" t="s">
        <v>106</v>
      </c>
    </row>
    <row r="66" spans="1:22" x14ac:dyDescent="0.35">
      <c r="A66" s="1">
        <v>45717</v>
      </c>
      <c r="B66">
        <v>123747275</v>
      </c>
      <c r="C66">
        <v>2004</v>
      </c>
      <c r="D66" t="s">
        <v>88</v>
      </c>
      <c r="E66" t="s">
        <v>22</v>
      </c>
      <c r="F66" t="s">
        <v>70</v>
      </c>
      <c r="G66" t="s">
        <v>71</v>
      </c>
      <c r="H66" t="s">
        <v>37</v>
      </c>
      <c r="I66" t="s">
        <v>38</v>
      </c>
      <c r="J66">
        <v>0.77100000000000002</v>
      </c>
      <c r="K66" t="s">
        <v>72</v>
      </c>
      <c r="L66" t="s">
        <v>48</v>
      </c>
      <c r="M66" t="s">
        <v>87</v>
      </c>
      <c r="N66" t="s">
        <v>30</v>
      </c>
      <c r="O66" t="s">
        <v>31</v>
      </c>
      <c r="P66">
        <v>0</v>
      </c>
      <c r="Q66">
        <v>1</v>
      </c>
      <c r="R66" t="s">
        <v>32</v>
      </c>
      <c r="S66" s="2">
        <v>0.78888888888888886</v>
      </c>
      <c r="T66" t="s">
        <v>43</v>
      </c>
      <c r="U66">
        <v>1380</v>
      </c>
      <c r="V66" t="s">
        <v>102</v>
      </c>
    </row>
    <row r="67" spans="1:22" x14ac:dyDescent="0.35">
      <c r="A67" s="1">
        <v>45658</v>
      </c>
      <c r="B67">
        <v>123917616</v>
      </c>
      <c r="C67">
        <v>1963</v>
      </c>
      <c r="D67" t="s">
        <v>34</v>
      </c>
      <c r="E67" t="s">
        <v>22</v>
      </c>
      <c r="F67" t="s">
        <v>70</v>
      </c>
      <c r="G67" t="s">
        <v>71</v>
      </c>
      <c r="H67" t="s">
        <v>37</v>
      </c>
      <c r="I67" t="s">
        <v>38</v>
      </c>
      <c r="J67">
        <v>1.222</v>
      </c>
      <c r="K67" t="s">
        <v>72</v>
      </c>
      <c r="L67" t="s">
        <v>40</v>
      </c>
      <c r="M67" t="s">
        <v>41</v>
      </c>
      <c r="N67" t="s">
        <v>30</v>
      </c>
      <c r="O67" t="s">
        <v>42</v>
      </c>
      <c r="P67">
        <v>5</v>
      </c>
      <c r="Q67">
        <v>2</v>
      </c>
      <c r="R67" t="s">
        <v>89</v>
      </c>
      <c r="S67" s="2">
        <v>0.34930555555555554</v>
      </c>
      <c r="T67" t="s">
        <v>33</v>
      </c>
      <c r="U67">
        <v>112249</v>
      </c>
      <c r="V67" t="s">
        <v>107</v>
      </c>
    </row>
    <row r="68" spans="1:22" x14ac:dyDescent="0.35">
      <c r="A68" s="1">
        <v>45748</v>
      </c>
      <c r="B68">
        <v>123811006</v>
      </c>
      <c r="C68">
        <v>1988</v>
      </c>
      <c r="D68" t="s">
        <v>34</v>
      </c>
      <c r="E68" t="s">
        <v>44</v>
      </c>
      <c r="F68" t="s">
        <v>61</v>
      </c>
      <c r="G68" t="s">
        <v>62</v>
      </c>
      <c r="H68" t="s">
        <v>25</v>
      </c>
      <c r="I68" t="s">
        <v>38</v>
      </c>
      <c r="J68">
        <v>1.103</v>
      </c>
      <c r="K68" t="s">
        <v>63</v>
      </c>
      <c r="L68" t="s">
        <v>48</v>
      </c>
      <c r="M68" t="s">
        <v>49</v>
      </c>
      <c r="N68" t="s">
        <v>30</v>
      </c>
      <c r="O68" t="s">
        <v>31</v>
      </c>
      <c r="P68">
        <v>0</v>
      </c>
      <c r="Q68">
        <v>1</v>
      </c>
      <c r="R68" t="s">
        <v>89</v>
      </c>
      <c r="S68" s="2">
        <v>0.90763888888888888</v>
      </c>
      <c r="T68" t="s">
        <v>43</v>
      </c>
      <c r="U68">
        <v>1945</v>
      </c>
      <c r="V68" t="s">
        <v>108</v>
      </c>
    </row>
    <row r="69" spans="1:22" x14ac:dyDescent="0.35">
      <c r="A69" s="1">
        <v>45870</v>
      </c>
      <c r="B69">
        <v>123745800</v>
      </c>
      <c r="C69">
        <v>1992</v>
      </c>
      <c r="D69" t="s">
        <v>21</v>
      </c>
      <c r="E69" t="s">
        <v>44</v>
      </c>
      <c r="F69" t="s">
        <v>45</v>
      </c>
      <c r="G69" t="s">
        <v>46</v>
      </c>
      <c r="H69" t="s">
        <v>37</v>
      </c>
      <c r="I69" t="s">
        <v>38</v>
      </c>
      <c r="J69">
        <v>1.1659999999999999</v>
      </c>
      <c r="K69" t="s">
        <v>47</v>
      </c>
      <c r="L69" t="s">
        <v>28</v>
      </c>
      <c r="M69" t="s">
        <v>64</v>
      </c>
      <c r="N69" t="s">
        <v>30</v>
      </c>
      <c r="O69" t="s">
        <v>31</v>
      </c>
      <c r="P69">
        <v>0</v>
      </c>
      <c r="Q69">
        <v>1</v>
      </c>
      <c r="R69" t="s">
        <v>32</v>
      </c>
      <c r="S69" s="2">
        <v>0.69027777777777777</v>
      </c>
      <c r="T69" t="s">
        <v>43</v>
      </c>
      <c r="U69">
        <v>851</v>
      </c>
      <c r="V69" t="s">
        <v>109</v>
      </c>
    </row>
    <row r="70" spans="1:22" x14ac:dyDescent="0.35">
      <c r="A70" s="1">
        <v>45689</v>
      </c>
      <c r="B70">
        <v>123872857</v>
      </c>
      <c r="C70">
        <v>1991</v>
      </c>
      <c r="D70" t="s">
        <v>34</v>
      </c>
      <c r="E70" t="s">
        <v>44</v>
      </c>
      <c r="F70" t="s">
        <v>61</v>
      </c>
      <c r="G70" t="s">
        <v>62</v>
      </c>
      <c r="H70" t="s">
        <v>25</v>
      </c>
      <c r="I70" t="s">
        <v>38</v>
      </c>
      <c r="J70">
        <v>0.98099999999999998</v>
      </c>
      <c r="K70" t="s">
        <v>63</v>
      </c>
      <c r="L70" t="s">
        <v>40</v>
      </c>
      <c r="M70" t="s">
        <v>41</v>
      </c>
      <c r="N70" t="s">
        <v>30</v>
      </c>
      <c r="O70" t="s">
        <v>31</v>
      </c>
      <c r="P70">
        <v>0</v>
      </c>
      <c r="Q70">
        <v>2</v>
      </c>
      <c r="R70" t="s">
        <v>32</v>
      </c>
      <c r="S70" s="2">
        <v>0.49652777777777779</v>
      </c>
      <c r="T70" t="s">
        <v>33</v>
      </c>
      <c r="U70">
        <v>1042</v>
      </c>
      <c r="V70" t="s">
        <v>99</v>
      </c>
    </row>
    <row r="71" spans="1:22" x14ac:dyDescent="0.35">
      <c r="A71" s="1">
        <v>45992</v>
      </c>
      <c r="B71">
        <v>123552134</v>
      </c>
      <c r="C71">
        <v>1965</v>
      </c>
      <c r="D71" t="s">
        <v>68</v>
      </c>
      <c r="E71" t="s">
        <v>44</v>
      </c>
      <c r="F71" t="s">
        <v>70</v>
      </c>
      <c r="G71" t="s">
        <v>71</v>
      </c>
      <c r="H71" t="s">
        <v>37</v>
      </c>
      <c r="I71" t="s">
        <v>26</v>
      </c>
      <c r="J71">
        <v>0.89300000000000002</v>
      </c>
      <c r="K71" t="s">
        <v>72</v>
      </c>
      <c r="L71" t="s">
        <v>65</v>
      </c>
      <c r="M71" t="s">
        <v>73</v>
      </c>
      <c r="N71" t="s">
        <v>30</v>
      </c>
      <c r="O71" t="s">
        <v>31</v>
      </c>
      <c r="P71">
        <v>0</v>
      </c>
      <c r="Q71">
        <v>1</v>
      </c>
      <c r="R71" t="s">
        <v>32</v>
      </c>
      <c r="S71" s="2">
        <v>0.54097222222222219</v>
      </c>
      <c r="T71" t="s">
        <v>43</v>
      </c>
      <c r="U71">
        <v>152</v>
      </c>
      <c r="V71" t="s">
        <v>103</v>
      </c>
    </row>
    <row r="72" spans="1:22" x14ac:dyDescent="0.35">
      <c r="A72" s="1">
        <v>45870</v>
      </c>
      <c r="B72">
        <v>123855781</v>
      </c>
      <c r="C72">
        <v>1986</v>
      </c>
      <c r="D72" t="s">
        <v>60</v>
      </c>
      <c r="E72" t="s">
        <v>22</v>
      </c>
      <c r="F72" t="s">
        <v>61</v>
      </c>
      <c r="G72" t="s">
        <v>62</v>
      </c>
      <c r="H72" t="s">
        <v>25</v>
      </c>
      <c r="I72" t="s">
        <v>26</v>
      </c>
      <c r="J72">
        <v>0.89300000000000002</v>
      </c>
      <c r="K72" t="s">
        <v>63</v>
      </c>
      <c r="L72" t="s">
        <v>48</v>
      </c>
      <c r="M72" t="s">
        <v>87</v>
      </c>
      <c r="N72" t="s">
        <v>30</v>
      </c>
      <c r="O72" t="s">
        <v>67</v>
      </c>
      <c r="P72">
        <v>1</v>
      </c>
      <c r="Q72">
        <v>1</v>
      </c>
      <c r="R72" t="s">
        <v>32</v>
      </c>
      <c r="S72" s="2">
        <v>0.74791666666666667</v>
      </c>
      <c r="T72" t="s">
        <v>43</v>
      </c>
      <c r="U72">
        <v>2429</v>
      </c>
      <c r="V72" t="s">
        <v>109</v>
      </c>
    </row>
    <row r="73" spans="1:22" x14ac:dyDescent="0.35">
      <c r="A73" s="1">
        <v>45778</v>
      </c>
      <c r="B73">
        <v>123475120</v>
      </c>
      <c r="C73">
        <v>1958</v>
      </c>
      <c r="D73" t="s">
        <v>60</v>
      </c>
      <c r="E73" t="s">
        <v>22</v>
      </c>
      <c r="F73" t="s">
        <v>61</v>
      </c>
      <c r="G73" t="s">
        <v>62</v>
      </c>
      <c r="H73" t="s">
        <v>25</v>
      </c>
      <c r="I73" t="s">
        <v>38</v>
      </c>
      <c r="J73">
        <v>1.1120000000000001</v>
      </c>
      <c r="K73" t="s">
        <v>63</v>
      </c>
      <c r="L73" t="s">
        <v>40</v>
      </c>
      <c r="M73" t="s">
        <v>41</v>
      </c>
      <c r="N73" t="s">
        <v>30</v>
      </c>
      <c r="O73" t="s">
        <v>42</v>
      </c>
      <c r="P73">
        <v>5</v>
      </c>
      <c r="Q73">
        <v>2</v>
      </c>
      <c r="R73" t="s">
        <v>89</v>
      </c>
      <c r="S73" s="2">
        <v>0.40763888888888888</v>
      </c>
      <c r="T73" t="s">
        <v>33</v>
      </c>
      <c r="U73">
        <v>38821</v>
      </c>
      <c r="V73" t="s">
        <v>95</v>
      </c>
    </row>
    <row r="74" spans="1:22" x14ac:dyDescent="0.35">
      <c r="A74" s="1">
        <v>45778</v>
      </c>
      <c r="B74">
        <v>123566107</v>
      </c>
      <c r="C74">
        <v>1967</v>
      </c>
      <c r="D74" t="s">
        <v>68</v>
      </c>
      <c r="E74" t="s">
        <v>44</v>
      </c>
      <c r="F74" t="s">
        <v>35</v>
      </c>
      <c r="G74" t="s">
        <v>36</v>
      </c>
      <c r="H74" t="s">
        <v>37</v>
      </c>
      <c r="I74" t="s">
        <v>38</v>
      </c>
      <c r="J74">
        <v>1.1539999999999999</v>
      </c>
      <c r="K74" t="s">
        <v>39</v>
      </c>
      <c r="L74" t="s">
        <v>28</v>
      </c>
      <c r="M74" t="s">
        <v>55</v>
      </c>
      <c r="N74" t="s">
        <v>30</v>
      </c>
      <c r="O74" t="s">
        <v>42</v>
      </c>
      <c r="P74">
        <v>4</v>
      </c>
      <c r="Q74">
        <v>3</v>
      </c>
      <c r="R74" t="s">
        <v>89</v>
      </c>
      <c r="S74" s="2">
        <v>0.34652777777777777</v>
      </c>
      <c r="T74" t="s">
        <v>33</v>
      </c>
      <c r="U74">
        <v>122019</v>
      </c>
      <c r="V74" t="s">
        <v>95</v>
      </c>
    </row>
    <row r="75" spans="1:22" x14ac:dyDescent="0.35">
      <c r="A75" s="1">
        <v>45748</v>
      </c>
      <c r="B75">
        <v>123729797</v>
      </c>
      <c r="C75">
        <v>1988</v>
      </c>
      <c r="D75" t="s">
        <v>21</v>
      </c>
      <c r="E75" t="s">
        <v>22</v>
      </c>
      <c r="F75" t="s">
        <v>45</v>
      </c>
      <c r="G75" t="s">
        <v>46</v>
      </c>
      <c r="H75" t="s">
        <v>37</v>
      </c>
      <c r="I75" t="s">
        <v>38</v>
      </c>
      <c r="J75">
        <v>1.093</v>
      </c>
      <c r="K75" t="s">
        <v>47</v>
      </c>
      <c r="L75" t="s">
        <v>48</v>
      </c>
      <c r="M75" t="s">
        <v>87</v>
      </c>
      <c r="N75" t="s">
        <v>30</v>
      </c>
      <c r="O75" t="s">
        <v>31</v>
      </c>
      <c r="P75">
        <v>0</v>
      </c>
      <c r="Q75">
        <v>2</v>
      </c>
      <c r="R75" t="s">
        <v>89</v>
      </c>
      <c r="S75" s="2">
        <v>0.63124999999999998</v>
      </c>
      <c r="T75" t="s">
        <v>43</v>
      </c>
      <c r="U75">
        <v>1722</v>
      </c>
      <c r="V75" t="s">
        <v>108</v>
      </c>
    </row>
    <row r="76" spans="1:22" x14ac:dyDescent="0.35">
      <c r="A76" s="1">
        <v>45778</v>
      </c>
      <c r="B76">
        <v>123955902</v>
      </c>
      <c r="C76">
        <v>1956</v>
      </c>
      <c r="D76" t="s">
        <v>60</v>
      </c>
      <c r="E76" t="s">
        <v>44</v>
      </c>
      <c r="F76" t="s">
        <v>78</v>
      </c>
      <c r="G76" t="s">
        <v>79</v>
      </c>
      <c r="H76" t="s">
        <v>37</v>
      </c>
      <c r="I76" t="s">
        <v>38</v>
      </c>
      <c r="J76">
        <v>1</v>
      </c>
      <c r="K76" t="s">
        <v>80</v>
      </c>
      <c r="L76" t="s">
        <v>40</v>
      </c>
      <c r="M76" t="s">
        <v>41</v>
      </c>
      <c r="N76" t="s">
        <v>30</v>
      </c>
      <c r="O76" t="s">
        <v>31</v>
      </c>
      <c r="P76">
        <v>0</v>
      </c>
      <c r="Q76">
        <v>2</v>
      </c>
      <c r="R76" t="s">
        <v>32</v>
      </c>
      <c r="S76" s="2">
        <v>0.69374999999999998</v>
      </c>
      <c r="T76" t="s">
        <v>43</v>
      </c>
      <c r="U76">
        <v>142</v>
      </c>
      <c r="V76" t="s">
        <v>95</v>
      </c>
    </row>
    <row r="77" spans="1:22" x14ac:dyDescent="0.35">
      <c r="A77" s="1">
        <v>45658</v>
      </c>
      <c r="B77">
        <v>123527863</v>
      </c>
      <c r="C77">
        <v>2005</v>
      </c>
      <c r="D77" t="s">
        <v>69</v>
      </c>
      <c r="E77" t="s">
        <v>22</v>
      </c>
      <c r="F77" t="s">
        <v>61</v>
      </c>
      <c r="G77" t="s">
        <v>62</v>
      </c>
      <c r="H77" t="s">
        <v>25</v>
      </c>
      <c r="I77" t="s">
        <v>38</v>
      </c>
      <c r="J77">
        <v>1.0109999999999999</v>
      </c>
      <c r="K77" t="s">
        <v>63</v>
      </c>
      <c r="L77" t="s">
        <v>65</v>
      </c>
      <c r="M77" t="s">
        <v>66</v>
      </c>
      <c r="N77" t="s">
        <v>30</v>
      </c>
      <c r="O77" t="s">
        <v>31</v>
      </c>
      <c r="P77">
        <v>0</v>
      </c>
      <c r="Q77">
        <v>2</v>
      </c>
      <c r="R77" t="s">
        <v>32</v>
      </c>
      <c r="S77" s="2">
        <v>0.53055555555555556</v>
      </c>
      <c r="T77" t="s">
        <v>43</v>
      </c>
      <c r="U77">
        <v>1127</v>
      </c>
      <c r="V77" t="s">
        <v>107</v>
      </c>
    </row>
    <row r="78" spans="1:22" x14ac:dyDescent="0.35">
      <c r="A78" s="1">
        <v>45689</v>
      </c>
      <c r="B78">
        <v>123790221</v>
      </c>
      <c r="C78">
        <v>1999</v>
      </c>
      <c r="D78" t="s">
        <v>60</v>
      </c>
      <c r="E78" t="s">
        <v>22</v>
      </c>
      <c r="F78" t="s">
        <v>61</v>
      </c>
      <c r="G78" t="s">
        <v>62</v>
      </c>
      <c r="H78" t="s">
        <v>25</v>
      </c>
      <c r="I78" t="s">
        <v>38</v>
      </c>
      <c r="J78">
        <v>1.131</v>
      </c>
      <c r="K78" t="s">
        <v>63</v>
      </c>
      <c r="L78" t="s">
        <v>28</v>
      </c>
      <c r="M78" t="s">
        <v>64</v>
      </c>
      <c r="N78" t="s">
        <v>30</v>
      </c>
      <c r="O78" t="s">
        <v>42</v>
      </c>
      <c r="P78">
        <v>4</v>
      </c>
      <c r="Q78">
        <v>2</v>
      </c>
      <c r="R78" t="s">
        <v>89</v>
      </c>
      <c r="S78" s="2">
        <v>0.74305555555555558</v>
      </c>
      <c r="T78" t="s">
        <v>43</v>
      </c>
      <c r="U78">
        <v>160962</v>
      </c>
      <c r="V78" t="s">
        <v>99</v>
      </c>
    </row>
    <row r="79" spans="1:22" x14ac:dyDescent="0.35">
      <c r="A79" s="1">
        <v>45901</v>
      </c>
      <c r="B79">
        <v>123794297</v>
      </c>
      <c r="C79">
        <v>1986</v>
      </c>
      <c r="D79" t="s">
        <v>60</v>
      </c>
      <c r="E79" t="s">
        <v>22</v>
      </c>
      <c r="F79" t="s">
        <v>78</v>
      </c>
      <c r="G79" t="s">
        <v>79</v>
      </c>
      <c r="H79" t="s">
        <v>37</v>
      </c>
      <c r="I79" t="s">
        <v>38</v>
      </c>
      <c r="J79">
        <v>1.0669999999999999</v>
      </c>
      <c r="K79" t="s">
        <v>80</v>
      </c>
      <c r="L79" t="s">
        <v>28</v>
      </c>
      <c r="M79" t="s">
        <v>55</v>
      </c>
      <c r="N79" t="s">
        <v>30</v>
      </c>
      <c r="O79" t="s">
        <v>42</v>
      </c>
      <c r="P79">
        <v>5</v>
      </c>
      <c r="Q79">
        <v>1</v>
      </c>
      <c r="R79" t="s">
        <v>32</v>
      </c>
      <c r="S79" s="2">
        <v>0.29722222222222222</v>
      </c>
      <c r="T79" t="s">
        <v>33</v>
      </c>
      <c r="U79">
        <v>28855</v>
      </c>
      <c r="V79" t="s">
        <v>101</v>
      </c>
    </row>
    <row r="80" spans="1:22" x14ac:dyDescent="0.35">
      <c r="A80" s="1">
        <v>45689</v>
      </c>
      <c r="B80">
        <v>123501964</v>
      </c>
      <c r="C80">
        <v>1992</v>
      </c>
      <c r="D80" t="s">
        <v>81</v>
      </c>
      <c r="E80" t="s">
        <v>44</v>
      </c>
      <c r="F80" t="s">
        <v>70</v>
      </c>
      <c r="G80" t="s">
        <v>71</v>
      </c>
      <c r="H80" t="s">
        <v>37</v>
      </c>
      <c r="I80" t="s">
        <v>38</v>
      </c>
      <c r="J80">
        <v>1.0069999999999999</v>
      </c>
      <c r="K80" t="s">
        <v>72</v>
      </c>
      <c r="L80" t="s">
        <v>65</v>
      </c>
      <c r="M80" t="s">
        <v>73</v>
      </c>
      <c r="N80" t="s">
        <v>30</v>
      </c>
      <c r="O80" t="s">
        <v>31</v>
      </c>
      <c r="P80">
        <v>0</v>
      </c>
      <c r="Q80">
        <v>2</v>
      </c>
      <c r="R80" t="s">
        <v>32</v>
      </c>
      <c r="S80" s="2">
        <v>0.74930555555555556</v>
      </c>
      <c r="T80" t="s">
        <v>43</v>
      </c>
      <c r="U80">
        <v>143</v>
      </c>
      <c r="V80" t="s">
        <v>99</v>
      </c>
    </row>
    <row r="81" spans="1:22" x14ac:dyDescent="0.35">
      <c r="A81" s="1">
        <v>45839</v>
      </c>
      <c r="B81">
        <v>123965150</v>
      </c>
      <c r="C81">
        <v>1991</v>
      </c>
      <c r="D81" t="s">
        <v>88</v>
      </c>
      <c r="E81" t="s">
        <v>44</v>
      </c>
      <c r="F81" t="s">
        <v>61</v>
      </c>
      <c r="G81" t="s">
        <v>62</v>
      </c>
      <c r="H81" t="s">
        <v>25</v>
      </c>
      <c r="I81" t="s">
        <v>38</v>
      </c>
      <c r="J81">
        <v>0.94</v>
      </c>
      <c r="K81" t="s">
        <v>63</v>
      </c>
      <c r="L81" t="s">
        <v>28</v>
      </c>
      <c r="M81" t="s">
        <v>64</v>
      </c>
      <c r="N81" t="s">
        <v>30</v>
      </c>
      <c r="O81" t="s">
        <v>31</v>
      </c>
      <c r="P81">
        <v>0</v>
      </c>
      <c r="Q81">
        <v>2</v>
      </c>
      <c r="R81" t="s">
        <v>32</v>
      </c>
      <c r="S81" s="2">
        <v>0.30277777777777776</v>
      </c>
      <c r="T81" t="s">
        <v>33</v>
      </c>
      <c r="U81">
        <v>1458</v>
      </c>
      <c r="V81" t="s">
        <v>105</v>
      </c>
    </row>
    <row r="82" spans="1:22" x14ac:dyDescent="0.35">
      <c r="A82" s="1">
        <v>45992</v>
      </c>
      <c r="B82">
        <v>123849537</v>
      </c>
      <c r="C82">
        <v>1957</v>
      </c>
      <c r="D82" t="s">
        <v>81</v>
      </c>
      <c r="E82" t="s">
        <v>22</v>
      </c>
      <c r="F82" t="s">
        <v>70</v>
      </c>
      <c r="G82" t="s">
        <v>71</v>
      </c>
      <c r="H82" t="s">
        <v>37</v>
      </c>
      <c r="I82" t="s">
        <v>26</v>
      </c>
      <c r="J82">
        <v>0.98799999999999999</v>
      </c>
      <c r="K82" t="s">
        <v>72</v>
      </c>
      <c r="L82" t="s">
        <v>65</v>
      </c>
      <c r="M82" t="s">
        <v>66</v>
      </c>
      <c r="N82" t="s">
        <v>30</v>
      </c>
      <c r="O82" t="s">
        <v>42</v>
      </c>
      <c r="P82">
        <v>3</v>
      </c>
      <c r="Q82">
        <v>1</v>
      </c>
      <c r="R82" t="s">
        <v>32</v>
      </c>
      <c r="S82" s="2">
        <v>0.84027777777777779</v>
      </c>
      <c r="T82" t="s">
        <v>43</v>
      </c>
      <c r="U82">
        <v>27298</v>
      </c>
      <c r="V82" t="s">
        <v>103</v>
      </c>
    </row>
    <row r="83" spans="1:22" x14ac:dyDescent="0.35">
      <c r="A83" s="1">
        <v>45809</v>
      </c>
      <c r="B83">
        <v>123978205</v>
      </c>
      <c r="C83">
        <v>1964</v>
      </c>
      <c r="D83" t="s">
        <v>81</v>
      </c>
      <c r="E83" t="s">
        <v>22</v>
      </c>
      <c r="F83" t="s">
        <v>74</v>
      </c>
      <c r="G83" t="s">
        <v>75</v>
      </c>
      <c r="H83" t="s">
        <v>37</v>
      </c>
      <c r="I83" t="s">
        <v>38</v>
      </c>
      <c r="J83">
        <v>1.022</v>
      </c>
      <c r="K83" t="s">
        <v>76</v>
      </c>
      <c r="L83" t="s">
        <v>28</v>
      </c>
      <c r="M83" t="s">
        <v>55</v>
      </c>
      <c r="N83" t="s">
        <v>30</v>
      </c>
      <c r="O83" t="s">
        <v>31</v>
      </c>
      <c r="P83">
        <v>0</v>
      </c>
      <c r="Q83">
        <v>2</v>
      </c>
      <c r="R83" t="s">
        <v>89</v>
      </c>
      <c r="S83" s="2">
        <v>0.86458333333333337</v>
      </c>
      <c r="T83" t="s">
        <v>43</v>
      </c>
      <c r="U83">
        <v>1203</v>
      </c>
      <c r="V83" t="s">
        <v>100</v>
      </c>
    </row>
    <row r="84" spans="1:22" x14ac:dyDescent="0.35">
      <c r="A84" s="1">
        <v>45809</v>
      </c>
      <c r="B84">
        <v>123548150</v>
      </c>
      <c r="C84">
        <v>1996</v>
      </c>
      <c r="D84" t="s">
        <v>69</v>
      </c>
      <c r="E84" t="s">
        <v>44</v>
      </c>
      <c r="F84" t="s">
        <v>35</v>
      </c>
      <c r="G84" t="s">
        <v>36</v>
      </c>
      <c r="H84" t="s">
        <v>37</v>
      </c>
      <c r="I84" t="s">
        <v>38</v>
      </c>
      <c r="J84">
        <v>0.88100000000000001</v>
      </c>
      <c r="K84" t="s">
        <v>39</v>
      </c>
      <c r="L84" t="s">
        <v>48</v>
      </c>
      <c r="M84" t="s">
        <v>87</v>
      </c>
      <c r="N84" t="s">
        <v>30</v>
      </c>
      <c r="O84" t="s">
        <v>31</v>
      </c>
      <c r="P84">
        <v>0</v>
      </c>
      <c r="Q84">
        <v>2</v>
      </c>
      <c r="R84" t="s">
        <v>32</v>
      </c>
      <c r="S84" s="2">
        <v>0.4826388888888889</v>
      </c>
      <c r="T84" t="s">
        <v>33</v>
      </c>
      <c r="U84">
        <v>970</v>
      </c>
      <c r="V84" t="s">
        <v>100</v>
      </c>
    </row>
    <row r="85" spans="1:22" x14ac:dyDescent="0.35">
      <c r="A85" s="1">
        <v>45689</v>
      </c>
      <c r="B85">
        <v>123677253</v>
      </c>
      <c r="C85">
        <v>1987</v>
      </c>
      <c r="D85" t="s">
        <v>81</v>
      </c>
      <c r="E85" t="s">
        <v>44</v>
      </c>
      <c r="F85" t="s">
        <v>74</v>
      </c>
      <c r="G85" t="s">
        <v>75</v>
      </c>
      <c r="H85" t="s">
        <v>37</v>
      </c>
      <c r="I85" t="s">
        <v>38</v>
      </c>
      <c r="J85">
        <v>0.97699999999999998</v>
      </c>
      <c r="K85" t="s">
        <v>76</v>
      </c>
      <c r="L85" t="s">
        <v>28</v>
      </c>
      <c r="M85" t="s">
        <v>55</v>
      </c>
      <c r="N85" t="s">
        <v>30</v>
      </c>
      <c r="O85" t="s">
        <v>31</v>
      </c>
      <c r="P85">
        <v>0</v>
      </c>
      <c r="Q85">
        <v>2</v>
      </c>
      <c r="R85" t="s">
        <v>32</v>
      </c>
      <c r="S85" s="2">
        <v>0.28055555555555556</v>
      </c>
      <c r="T85" t="s">
        <v>33</v>
      </c>
      <c r="U85">
        <v>205</v>
      </c>
      <c r="V85" t="s">
        <v>99</v>
      </c>
    </row>
    <row r="86" spans="1:22" x14ac:dyDescent="0.35">
      <c r="A86" s="1">
        <v>45778</v>
      </c>
      <c r="B86">
        <v>123778962</v>
      </c>
      <c r="C86">
        <v>1986</v>
      </c>
      <c r="D86" t="s">
        <v>91</v>
      </c>
      <c r="E86" t="s">
        <v>44</v>
      </c>
      <c r="F86" t="s">
        <v>57</v>
      </c>
      <c r="G86" t="s">
        <v>58</v>
      </c>
      <c r="H86" t="s">
        <v>25</v>
      </c>
      <c r="I86" t="s">
        <v>26</v>
      </c>
      <c r="J86">
        <v>0.85299999999999998</v>
      </c>
      <c r="K86" t="s">
        <v>59</v>
      </c>
      <c r="L86" t="s">
        <v>28</v>
      </c>
      <c r="M86" t="s">
        <v>29</v>
      </c>
      <c r="N86" t="s">
        <v>30</v>
      </c>
      <c r="O86" t="s">
        <v>67</v>
      </c>
      <c r="P86">
        <v>1</v>
      </c>
      <c r="Q86">
        <v>2</v>
      </c>
      <c r="R86" t="s">
        <v>32</v>
      </c>
      <c r="S86" s="2">
        <v>0.68541666666666667</v>
      </c>
      <c r="T86" t="s">
        <v>43</v>
      </c>
      <c r="U86">
        <v>4916</v>
      </c>
      <c r="V86" t="s">
        <v>95</v>
      </c>
    </row>
    <row r="87" spans="1:22" x14ac:dyDescent="0.35">
      <c r="A87" s="1">
        <v>45717</v>
      </c>
      <c r="B87">
        <v>123698180</v>
      </c>
      <c r="C87">
        <v>1992</v>
      </c>
      <c r="D87" t="s">
        <v>60</v>
      </c>
      <c r="E87" t="s">
        <v>44</v>
      </c>
      <c r="F87" t="s">
        <v>35</v>
      </c>
      <c r="G87" t="s">
        <v>36</v>
      </c>
      <c r="H87" t="s">
        <v>37</v>
      </c>
      <c r="I87" t="s">
        <v>38</v>
      </c>
      <c r="J87">
        <v>0.99</v>
      </c>
      <c r="K87" t="s">
        <v>39</v>
      </c>
      <c r="L87" t="s">
        <v>28</v>
      </c>
      <c r="M87" t="s">
        <v>29</v>
      </c>
      <c r="N87" t="s">
        <v>30</v>
      </c>
      <c r="O87" t="s">
        <v>42</v>
      </c>
      <c r="P87">
        <v>7</v>
      </c>
      <c r="Q87">
        <v>3</v>
      </c>
      <c r="R87" t="s">
        <v>32</v>
      </c>
      <c r="S87" s="2">
        <v>0.30972222222222223</v>
      </c>
      <c r="T87" t="s">
        <v>33</v>
      </c>
      <c r="U87">
        <v>69189</v>
      </c>
      <c r="V87" t="s">
        <v>102</v>
      </c>
    </row>
    <row r="88" spans="1:22" x14ac:dyDescent="0.35">
      <c r="A88" s="1">
        <v>45901</v>
      </c>
      <c r="B88">
        <v>123998181</v>
      </c>
      <c r="C88">
        <v>1973</v>
      </c>
      <c r="D88" t="s">
        <v>34</v>
      </c>
      <c r="E88" t="s">
        <v>22</v>
      </c>
      <c r="F88" t="s">
        <v>83</v>
      </c>
      <c r="G88" t="s">
        <v>84</v>
      </c>
      <c r="H88" t="s">
        <v>53</v>
      </c>
      <c r="I88" t="s">
        <v>38</v>
      </c>
      <c r="J88">
        <v>0.82599999999999996</v>
      </c>
      <c r="K88" t="s">
        <v>85</v>
      </c>
      <c r="L88" t="s">
        <v>48</v>
      </c>
      <c r="M88" t="s">
        <v>49</v>
      </c>
      <c r="N88" t="s">
        <v>30</v>
      </c>
      <c r="O88" t="s">
        <v>31</v>
      </c>
      <c r="P88">
        <v>0</v>
      </c>
      <c r="Q88">
        <v>1</v>
      </c>
      <c r="R88" t="s">
        <v>32</v>
      </c>
      <c r="S88" s="2">
        <v>0.48402777777777778</v>
      </c>
      <c r="T88" t="s">
        <v>33</v>
      </c>
      <c r="U88">
        <v>904</v>
      </c>
      <c r="V88" t="s">
        <v>101</v>
      </c>
    </row>
    <row r="89" spans="1:22" x14ac:dyDescent="0.35">
      <c r="A89" s="1">
        <v>45870</v>
      </c>
      <c r="B89">
        <v>123888541</v>
      </c>
      <c r="C89">
        <v>1990</v>
      </c>
      <c r="D89" t="s">
        <v>91</v>
      </c>
      <c r="E89" t="s">
        <v>22</v>
      </c>
      <c r="F89" t="s">
        <v>61</v>
      </c>
      <c r="G89" t="s">
        <v>62</v>
      </c>
      <c r="H89" t="s">
        <v>25</v>
      </c>
      <c r="I89" t="s">
        <v>38</v>
      </c>
      <c r="J89">
        <v>1.1579999999999999</v>
      </c>
      <c r="K89" t="s">
        <v>63</v>
      </c>
      <c r="L89" t="s">
        <v>48</v>
      </c>
      <c r="M89" t="s">
        <v>49</v>
      </c>
      <c r="N89" t="s">
        <v>30</v>
      </c>
      <c r="O89" t="s">
        <v>42</v>
      </c>
      <c r="P89">
        <v>4</v>
      </c>
      <c r="Q89">
        <v>2</v>
      </c>
      <c r="R89" t="s">
        <v>89</v>
      </c>
      <c r="S89" s="2">
        <v>0.71805555555555556</v>
      </c>
      <c r="T89" t="s">
        <v>43</v>
      </c>
      <c r="U89">
        <v>62686</v>
      </c>
      <c r="V89" t="s">
        <v>109</v>
      </c>
    </row>
    <row r="90" spans="1:22" x14ac:dyDescent="0.35">
      <c r="A90" s="1">
        <v>45992</v>
      </c>
      <c r="B90">
        <v>123505017</v>
      </c>
      <c r="C90">
        <v>1997</v>
      </c>
      <c r="D90" t="s">
        <v>92</v>
      </c>
      <c r="E90" t="s">
        <v>22</v>
      </c>
      <c r="F90" t="s">
        <v>70</v>
      </c>
      <c r="G90" t="s">
        <v>71</v>
      </c>
      <c r="H90" t="s">
        <v>37</v>
      </c>
      <c r="I90" t="s">
        <v>38</v>
      </c>
      <c r="J90">
        <v>1.1160000000000001</v>
      </c>
      <c r="K90" t="s">
        <v>72</v>
      </c>
      <c r="L90" t="s">
        <v>28</v>
      </c>
      <c r="M90" t="s">
        <v>29</v>
      </c>
      <c r="N90" t="s">
        <v>30</v>
      </c>
      <c r="O90" t="s">
        <v>42</v>
      </c>
      <c r="P90">
        <v>5</v>
      </c>
      <c r="Q90">
        <v>3</v>
      </c>
      <c r="R90" t="s">
        <v>89</v>
      </c>
      <c r="S90" s="2">
        <v>0.65416666666666667</v>
      </c>
      <c r="T90" t="s">
        <v>43</v>
      </c>
      <c r="U90">
        <v>40266</v>
      </c>
      <c r="V90" t="s">
        <v>103</v>
      </c>
    </row>
    <row r="91" spans="1:22" x14ac:dyDescent="0.35">
      <c r="A91" s="1">
        <v>45689</v>
      </c>
      <c r="B91">
        <v>123593840</v>
      </c>
      <c r="C91">
        <v>2001</v>
      </c>
      <c r="D91" t="s">
        <v>81</v>
      </c>
      <c r="E91" t="s">
        <v>44</v>
      </c>
      <c r="F91" t="s">
        <v>74</v>
      </c>
      <c r="G91" t="s">
        <v>75</v>
      </c>
      <c r="H91" t="s">
        <v>37</v>
      </c>
      <c r="I91" t="s">
        <v>38</v>
      </c>
      <c r="J91">
        <v>1.0840000000000001</v>
      </c>
      <c r="K91" t="s">
        <v>76</v>
      </c>
      <c r="L91" t="s">
        <v>28</v>
      </c>
      <c r="M91" t="s">
        <v>64</v>
      </c>
      <c r="N91" t="s">
        <v>30</v>
      </c>
      <c r="O91" t="s">
        <v>31</v>
      </c>
      <c r="P91">
        <v>0</v>
      </c>
      <c r="Q91">
        <v>1</v>
      </c>
      <c r="R91" t="s">
        <v>89</v>
      </c>
      <c r="S91" s="2">
        <v>0.75069444444444444</v>
      </c>
      <c r="T91" t="s">
        <v>43</v>
      </c>
      <c r="U91">
        <v>1015</v>
      </c>
      <c r="V91" t="s">
        <v>99</v>
      </c>
    </row>
    <row r="92" spans="1:22" x14ac:dyDescent="0.35">
      <c r="A92" s="1">
        <v>45778</v>
      </c>
      <c r="B92">
        <v>123739177</v>
      </c>
      <c r="C92">
        <v>1977</v>
      </c>
      <c r="D92" t="s">
        <v>34</v>
      </c>
      <c r="E92" t="s">
        <v>22</v>
      </c>
      <c r="F92" t="s">
        <v>57</v>
      </c>
      <c r="G92" t="s">
        <v>58</v>
      </c>
      <c r="H92" t="s">
        <v>25</v>
      </c>
      <c r="I92" t="s">
        <v>38</v>
      </c>
      <c r="J92">
        <v>1.18</v>
      </c>
      <c r="K92" t="s">
        <v>59</v>
      </c>
      <c r="L92" t="s">
        <v>28</v>
      </c>
      <c r="M92" t="s">
        <v>64</v>
      </c>
      <c r="N92" t="s">
        <v>30</v>
      </c>
      <c r="O92" t="s">
        <v>42</v>
      </c>
      <c r="P92">
        <v>7</v>
      </c>
      <c r="Q92">
        <v>2</v>
      </c>
      <c r="R92" t="s">
        <v>89</v>
      </c>
      <c r="S92" s="2">
        <v>0.35972222222222222</v>
      </c>
      <c r="T92" t="s">
        <v>33</v>
      </c>
      <c r="U92">
        <v>61284</v>
      </c>
      <c r="V92" t="s">
        <v>95</v>
      </c>
    </row>
    <row r="93" spans="1:22" x14ac:dyDescent="0.35">
      <c r="A93" s="1">
        <v>45901</v>
      </c>
      <c r="B93">
        <v>123549182</v>
      </c>
      <c r="C93">
        <v>1988</v>
      </c>
      <c r="D93" t="s">
        <v>50</v>
      </c>
      <c r="E93" t="s">
        <v>22</v>
      </c>
      <c r="F93" t="s">
        <v>70</v>
      </c>
      <c r="G93" t="s">
        <v>71</v>
      </c>
      <c r="H93" t="s">
        <v>37</v>
      </c>
      <c r="I93" t="s">
        <v>38</v>
      </c>
      <c r="J93">
        <v>1.1850000000000001</v>
      </c>
      <c r="K93" t="s">
        <v>72</v>
      </c>
      <c r="L93" t="s">
        <v>65</v>
      </c>
      <c r="M93" t="s">
        <v>66</v>
      </c>
      <c r="N93" t="s">
        <v>30</v>
      </c>
      <c r="O93" t="s">
        <v>42</v>
      </c>
      <c r="P93">
        <v>5</v>
      </c>
      <c r="Q93">
        <v>2</v>
      </c>
      <c r="R93" t="s">
        <v>32</v>
      </c>
      <c r="S93" s="2">
        <v>0.36944444444444446</v>
      </c>
      <c r="T93" t="s">
        <v>33</v>
      </c>
      <c r="U93">
        <v>4489</v>
      </c>
      <c r="V93" t="s">
        <v>101</v>
      </c>
    </row>
    <row r="94" spans="1:22" x14ac:dyDescent="0.35">
      <c r="A94" s="1">
        <v>45992</v>
      </c>
      <c r="B94">
        <v>123767401</v>
      </c>
      <c r="C94">
        <v>2001</v>
      </c>
      <c r="D94" t="s">
        <v>68</v>
      </c>
      <c r="E94" t="s">
        <v>44</v>
      </c>
      <c r="F94" t="s">
        <v>74</v>
      </c>
      <c r="G94" t="s">
        <v>75</v>
      </c>
      <c r="H94" t="s">
        <v>37</v>
      </c>
      <c r="I94" t="s">
        <v>38</v>
      </c>
      <c r="J94">
        <v>1.0149999999999999</v>
      </c>
      <c r="K94" t="s">
        <v>76</v>
      </c>
      <c r="L94" t="s">
        <v>65</v>
      </c>
      <c r="M94" t="s">
        <v>73</v>
      </c>
      <c r="N94" t="s">
        <v>30</v>
      </c>
      <c r="O94" t="s">
        <v>42</v>
      </c>
      <c r="P94">
        <v>3</v>
      </c>
      <c r="Q94">
        <v>1</v>
      </c>
      <c r="R94" t="s">
        <v>32</v>
      </c>
      <c r="S94" s="2">
        <v>0.64097222222222228</v>
      </c>
      <c r="T94" t="s">
        <v>43</v>
      </c>
      <c r="U94">
        <v>22502</v>
      </c>
      <c r="V94" t="s">
        <v>103</v>
      </c>
    </row>
    <row r="95" spans="1:22" x14ac:dyDescent="0.35">
      <c r="A95" s="1">
        <v>45931</v>
      </c>
      <c r="B95">
        <v>123709495</v>
      </c>
      <c r="C95">
        <v>1983</v>
      </c>
      <c r="D95" t="s">
        <v>34</v>
      </c>
      <c r="E95" t="s">
        <v>44</v>
      </c>
      <c r="F95" t="s">
        <v>57</v>
      </c>
      <c r="G95" t="s">
        <v>58</v>
      </c>
      <c r="H95" t="s">
        <v>25</v>
      </c>
      <c r="I95" t="s">
        <v>38</v>
      </c>
      <c r="J95">
        <v>1.117</v>
      </c>
      <c r="K95" t="s">
        <v>59</v>
      </c>
      <c r="L95" t="s">
        <v>65</v>
      </c>
      <c r="M95" t="s">
        <v>73</v>
      </c>
      <c r="N95" t="s">
        <v>30</v>
      </c>
      <c r="O95" t="s">
        <v>42</v>
      </c>
      <c r="P95">
        <v>4</v>
      </c>
      <c r="Q95">
        <v>1</v>
      </c>
      <c r="R95" t="s">
        <v>89</v>
      </c>
      <c r="S95" s="2">
        <v>0.52986111111111112</v>
      </c>
      <c r="T95" t="s">
        <v>43</v>
      </c>
      <c r="U95">
        <v>96445</v>
      </c>
      <c r="V95" t="s">
        <v>104</v>
      </c>
    </row>
    <row r="96" spans="1:22" x14ac:dyDescent="0.35">
      <c r="A96" s="1">
        <v>45748</v>
      </c>
      <c r="B96">
        <v>123825525</v>
      </c>
      <c r="C96">
        <v>1998</v>
      </c>
      <c r="D96" t="s">
        <v>88</v>
      </c>
      <c r="E96" t="s">
        <v>22</v>
      </c>
      <c r="F96" t="s">
        <v>83</v>
      </c>
      <c r="G96" t="s">
        <v>84</v>
      </c>
      <c r="H96" t="s">
        <v>53</v>
      </c>
      <c r="I96" t="s">
        <v>38</v>
      </c>
      <c r="J96">
        <v>1.089</v>
      </c>
      <c r="K96" t="s">
        <v>85</v>
      </c>
      <c r="L96" t="s">
        <v>40</v>
      </c>
      <c r="M96" t="s">
        <v>86</v>
      </c>
      <c r="N96" t="s">
        <v>30</v>
      </c>
      <c r="O96" t="s">
        <v>42</v>
      </c>
      <c r="P96">
        <v>3</v>
      </c>
      <c r="Q96">
        <v>2</v>
      </c>
      <c r="R96" t="s">
        <v>89</v>
      </c>
      <c r="S96" s="2">
        <v>0.55902777777777779</v>
      </c>
      <c r="T96" t="s">
        <v>43</v>
      </c>
      <c r="U96">
        <v>16038</v>
      </c>
      <c r="V96" t="s">
        <v>108</v>
      </c>
    </row>
    <row r="97" spans="1:22" x14ac:dyDescent="0.35">
      <c r="A97" s="1">
        <v>45809</v>
      </c>
      <c r="B97">
        <v>123871573</v>
      </c>
      <c r="C97">
        <v>1983</v>
      </c>
      <c r="D97" t="s">
        <v>69</v>
      </c>
      <c r="E97" t="s">
        <v>22</v>
      </c>
      <c r="F97" t="s">
        <v>23</v>
      </c>
      <c r="G97" t="s">
        <v>24</v>
      </c>
      <c r="H97" t="s">
        <v>25</v>
      </c>
      <c r="I97" t="s">
        <v>38</v>
      </c>
      <c r="J97">
        <v>0.95599999999999996</v>
      </c>
      <c r="K97" t="s">
        <v>27</v>
      </c>
      <c r="L97" t="s">
        <v>40</v>
      </c>
      <c r="M97" t="s">
        <v>41</v>
      </c>
      <c r="N97" t="s">
        <v>30</v>
      </c>
      <c r="O97" t="s">
        <v>42</v>
      </c>
      <c r="P97">
        <v>3</v>
      </c>
      <c r="Q97">
        <v>1</v>
      </c>
      <c r="R97" t="s">
        <v>32</v>
      </c>
      <c r="S97" s="2">
        <v>0.58888888888888891</v>
      </c>
      <c r="T97" t="s">
        <v>43</v>
      </c>
      <c r="U97">
        <v>40109</v>
      </c>
      <c r="V97" t="s">
        <v>100</v>
      </c>
    </row>
    <row r="98" spans="1:22" x14ac:dyDescent="0.35">
      <c r="A98" s="1">
        <v>45901</v>
      </c>
      <c r="B98">
        <v>123956543</v>
      </c>
      <c r="C98">
        <v>1982</v>
      </c>
      <c r="D98" t="s">
        <v>88</v>
      </c>
      <c r="E98" t="s">
        <v>44</v>
      </c>
      <c r="F98" t="s">
        <v>70</v>
      </c>
      <c r="G98" t="s">
        <v>71</v>
      </c>
      <c r="H98" t="s">
        <v>37</v>
      </c>
      <c r="I98" t="s">
        <v>38</v>
      </c>
      <c r="J98">
        <v>1.294</v>
      </c>
      <c r="K98" t="s">
        <v>72</v>
      </c>
      <c r="L98" t="s">
        <v>65</v>
      </c>
      <c r="M98" t="s">
        <v>66</v>
      </c>
      <c r="N98" t="s">
        <v>30</v>
      </c>
      <c r="O98" t="s">
        <v>42</v>
      </c>
      <c r="P98">
        <v>5</v>
      </c>
      <c r="Q98">
        <v>3</v>
      </c>
      <c r="R98" t="s">
        <v>32</v>
      </c>
      <c r="S98" s="2">
        <v>0.6166666666666667</v>
      </c>
      <c r="T98" t="s">
        <v>43</v>
      </c>
      <c r="U98">
        <v>112061</v>
      </c>
      <c r="V98" t="s">
        <v>101</v>
      </c>
    </row>
    <row r="99" spans="1:22" x14ac:dyDescent="0.35">
      <c r="A99" s="1">
        <v>45748</v>
      </c>
      <c r="B99">
        <v>123890788</v>
      </c>
      <c r="C99">
        <v>1966</v>
      </c>
      <c r="D99" t="s">
        <v>34</v>
      </c>
      <c r="E99" t="s">
        <v>22</v>
      </c>
      <c r="F99" t="s">
        <v>74</v>
      </c>
      <c r="G99" t="s">
        <v>75</v>
      </c>
      <c r="H99" t="s">
        <v>37</v>
      </c>
      <c r="I99" t="s">
        <v>38</v>
      </c>
      <c r="J99">
        <v>0.98699999999999999</v>
      </c>
      <c r="K99" t="s">
        <v>76</v>
      </c>
      <c r="L99" t="s">
        <v>28</v>
      </c>
      <c r="M99" t="s">
        <v>64</v>
      </c>
      <c r="N99" t="s">
        <v>30</v>
      </c>
      <c r="O99" t="s">
        <v>42</v>
      </c>
      <c r="P99">
        <v>6</v>
      </c>
      <c r="Q99">
        <v>2</v>
      </c>
      <c r="R99" t="s">
        <v>32</v>
      </c>
      <c r="S99" s="2">
        <v>0.47222222222222221</v>
      </c>
      <c r="T99" t="s">
        <v>33</v>
      </c>
      <c r="U99">
        <v>74214</v>
      </c>
      <c r="V99" t="s">
        <v>108</v>
      </c>
    </row>
    <row r="100" spans="1:22" x14ac:dyDescent="0.35">
      <c r="A100" s="1">
        <v>45658</v>
      </c>
      <c r="B100">
        <v>123737631</v>
      </c>
      <c r="C100">
        <v>1991</v>
      </c>
      <c r="D100" t="s">
        <v>34</v>
      </c>
      <c r="E100" t="s">
        <v>44</v>
      </c>
      <c r="F100" t="s">
        <v>51</v>
      </c>
      <c r="G100" t="s">
        <v>52</v>
      </c>
      <c r="H100" t="s">
        <v>53</v>
      </c>
      <c r="I100" t="s">
        <v>38</v>
      </c>
      <c r="J100">
        <v>1.0960000000000001</v>
      </c>
      <c r="K100" t="s">
        <v>54</v>
      </c>
      <c r="L100" t="s">
        <v>28</v>
      </c>
      <c r="M100" t="s">
        <v>64</v>
      </c>
      <c r="N100" t="s">
        <v>30</v>
      </c>
      <c r="O100" t="s">
        <v>42</v>
      </c>
      <c r="P100">
        <v>3</v>
      </c>
      <c r="Q100">
        <v>2</v>
      </c>
      <c r="R100" t="s">
        <v>89</v>
      </c>
      <c r="S100" s="2">
        <v>0.35625000000000001</v>
      </c>
      <c r="T100" t="s">
        <v>33</v>
      </c>
      <c r="U100">
        <v>43086</v>
      </c>
      <c r="V100" t="s">
        <v>107</v>
      </c>
    </row>
    <row r="101" spans="1:22" x14ac:dyDescent="0.35">
      <c r="A101" s="1">
        <v>45689</v>
      </c>
      <c r="B101">
        <v>123723730</v>
      </c>
      <c r="C101">
        <v>1972</v>
      </c>
      <c r="D101" t="s">
        <v>88</v>
      </c>
      <c r="E101" t="s">
        <v>22</v>
      </c>
      <c r="F101" t="s">
        <v>83</v>
      </c>
      <c r="G101" t="s">
        <v>84</v>
      </c>
      <c r="H101" t="s">
        <v>53</v>
      </c>
      <c r="I101" t="s">
        <v>38</v>
      </c>
      <c r="J101">
        <v>0.92200000000000004</v>
      </c>
      <c r="K101" t="s">
        <v>85</v>
      </c>
      <c r="L101" t="s">
        <v>65</v>
      </c>
      <c r="M101" t="s">
        <v>73</v>
      </c>
      <c r="N101" t="s">
        <v>30</v>
      </c>
      <c r="O101" t="s">
        <v>42</v>
      </c>
      <c r="P101">
        <v>4</v>
      </c>
      <c r="Q101">
        <v>1</v>
      </c>
      <c r="R101" t="s">
        <v>32</v>
      </c>
      <c r="S101" s="2">
        <v>0.36249999999999999</v>
      </c>
      <c r="T101" t="s">
        <v>33</v>
      </c>
      <c r="U101">
        <v>4470</v>
      </c>
      <c r="V101" t="s">
        <v>99</v>
      </c>
    </row>
    <row r="102" spans="1:22" x14ac:dyDescent="0.35">
      <c r="A102" s="1">
        <v>45809</v>
      </c>
      <c r="B102">
        <v>123584225</v>
      </c>
      <c r="C102">
        <v>1987</v>
      </c>
      <c r="D102" t="s">
        <v>88</v>
      </c>
      <c r="E102" t="s">
        <v>22</v>
      </c>
      <c r="F102" t="s">
        <v>23</v>
      </c>
      <c r="G102" t="s">
        <v>24</v>
      </c>
      <c r="H102" t="s">
        <v>25</v>
      </c>
      <c r="I102" t="s">
        <v>38</v>
      </c>
      <c r="J102">
        <v>0.99399999999999999</v>
      </c>
      <c r="K102" t="s">
        <v>27</v>
      </c>
      <c r="L102" t="s">
        <v>28</v>
      </c>
      <c r="M102" t="s">
        <v>64</v>
      </c>
      <c r="N102" t="s">
        <v>30</v>
      </c>
      <c r="O102" t="s">
        <v>67</v>
      </c>
      <c r="P102">
        <v>1</v>
      </c>
      <c r="Q102">
        <v>1</v>
      </c>
      <c r="R102" t="s">
        <v>32</v>
      </c>
      <c r="S102" s="2">
        <v>0.42638888888888887</v>
      </c>
      <c r="T102" t="s">
        <v>33</v>
      </c>
      <c r="U102">
        <v>3416</v>
      </c>
      <c r="V102" t="s">
        <v>100</v>
      </c>
    </row>
    <row r="103" spans="1:22" x14ac:dyDescent="0.35">
      <c r="A103" s="1">
        <v>45962</v>
      </c>
      <c r="B103">
        <v>123782178</v>
      </c>
      <c r="C103">
        <v>1985</v>
      </c>
      <c r="D103" t="s">
        <v>60</v>
      </c>
      <c r="E103" t="s">
        <v>22</v>
      </c>
      <c r="F103" t="s">
        <v>78</v>
      </c>
      <c r="G103" t="s">
        <v>79</v>
      </c>
      <c r="H103" t="s">
        <v>37</v>
      </c>
      <c r="I103" t="s">
        <v>38</v>
      </c>
      <c r="J103">
        <v>0.996</v>
      </c>
      <c r="K103" t="s">
        <v>80</v>
      </c>
      <c r="L103" t="s">
        <v>28</v>
      </c>
      <c r="M103" t="s">
        <v>64</v>
      </c>
      <c r="N103" t="s">
        <v>30</v>
      </c>
      <c r="O103" t="s">
        <v>31</v>
      </c>
      <c r="P103">
        <v>0</v>
      </c>
      <c r="Q103">
        <v>2</v>
      </c>
      <c r="R103" t="s">
        <v>89</v>
      </c>
      <c r="S103" s="2">
        <v>0.45347222222222222</v>
      </c>
      <c r="T103" t="s">
        <v>33</v>
      </c>
      <c r="U103">
        <v>733</v>
      </c>
      <c r="V103" t="s">
        <v>106</v>
      </c>
    </row>
    <row r="104" spans="1:22" x14ac:dyDescent="0.35">
      <c r="A104" s="1">
        <v>45901</v>
      </c>
      <c r="B104">
        <v>123915703</v>
      </c>
      <c r="C104">
        <v>1957</v>
      </c>
      <c r="D104" t="s">
        <v>68</v>
      </c>
      <c r="E104" t="s">
        <v>22</v>
      </c>
      <c r="F104" t="s">
        <v>61</v>
      </c>
      <c r="G104" t="s">
        <v>62</v>
      </c>
      <c r="H104" t="s">
        <v>25</v>
      </c>
      <c r="I104" t="s">
        <v>38</v>
      </c>
      <c r="J104">
        <v>0.98</v>
      </c>
      <c r="K104" t="s">
        <v>63</v>
      </c>
      <c r="L104" t="s">
        <v>48</v>
      </c>
      <c r="M104" t="s">
        <v>87</v>
      </c>
      <c r="N104" t="s">
        <v>30</v>
      </c>
      <c r="O104" t="s">
        <v>42</v>
      </c>
      <c r="P104">
        <v>4</v>
      </c>
      <c r="Q104">
        <v>2</v>
      </c>
      <c r="R104" t="s">
        <v>32</v>
      </c>
      <c r="S104" s="2">
        <v>0.59375</v>
      </c>
      <c r="T104" t="s">
        <v>43</v>
      </c>
      <c r="U104">
        <v>89005</v>
      </c>
      <c r="V104" t="s">
        <v>101</v>
      </c>
    </row>
    <row r="105" spans="1:22" x14ac:dyDescent="0.35">
      <c r="A105" s="1">
        <v>45717</v>
      </c>
      <c r="B105">
        <v>123521134</v>
      </c>
      <c r="C105">
        <v>1990</v>
      </c>
      <c r="D105" t="s">
        <v>50</v>
      </c>
      <c r="E105" t="s">
        <v>44</v>
      </c>
      <c r="F105" t="s">
        <v>61</v>
      </c>
      <c r="G105" t="s">
        <v>62</v>
      </c>
      <c r="H105" t="s">
        <v>25</v>
      </c>
      <c r="I105" t="s">
        <v>38</v>
      </c>
      <c r="J105">
        <v>1.079</v>
      </c>
      <c r="K105" t="s">
        <v>63</v>
      </c>
      <c r="L105" t="s">
        <v>65</v>
      </c>
      <c r="M105" t="s">
        <v>73</v>
      </c>
      <c r="N105" t="s">
        <v>30</v>
      </c>
      <c r="O105" t="s">
        <v>31</v>
      </c>
      <c r="P105">
        <v>0</v>
      </c>
      <c r="Q105">
        <v>2</v>
      </c>
      <c r="R105" t="s">
        <v>32</v>
      </c>
      <c r="S105" s="2">
        <v>0.85763888888888884</v>
      </c>
      <c r="T105" t="s">
        <v>43</v>
      </c>
      <c r="U105">
        <v>957</v>
      </c>
      <c r="V105" t="s">
        <v>102</v>
      </c>
    </row>
    <row r="106" spans="1:22" x14ac:dyDescent="0.35">
      <c r="A106" s="1">
        <v>45901</v>
      </c>
      <c r="B106">
        <v>123883559</v>
      </c>
      <c r="C106">
        <v>1974</v>
      </c>
      <c r="D106" t="s">
        <v>21</v>
      </c>
      <c r="E106" t="s">
        <v>44</v>
      </c>
      <c r="F106" t="s">
        <v>74</v>
      </c>
      <c r="G106" t="s">
        <v>75</v>
      </c>
      <c r="H106" t="s">
        <v>37</v>
      </c>
      <c r="I106" t="s">
        <v>38</v>
      </c>
      <c r="J106">
        <v>1.1619999999999999</v>
      </c>
      <c r="K106" t="s">
        <v>76</v>
      </c>
      <c r="L106" t="s">
        <v>28</v>
      </c>
      <c r="M106" t="s">
        <v>55</v>
      </c>
      <c r="N106" t="s">
        <v>30</v>
      </c>
      <c r="O106" t="s">
        <v>42</v>
      </c>
      <c r="P106">
        <v>3</v>
      </c>
      <c r="Q106">
        <v>1</v>
      </c>
      <c r="R106" t="s">
        <v>89</v>
      </c>
      <c r="S106" s="2">
        <v>0.3215277777777778</v>
      </c>
      <c r="T106" t="s">
        <v>33</v>
      </c>
      <c r="U106">
        <v>53133</v>
      </c>
      <c r="V106" t="s">
        <v>101</v>
      </c>
    </row>
    <row r="107" spans="1:22" x14ac:dyDescent="0.35">
      <c r="A107" s="1">
        <v>45748</v>
      </c>
      <c r="B107">
        <v>123519704</v>
      </c>
      <c r="C107">
        <v>1970</v>
      </c>
      <c r="D107" t="s">
        <v>60</v>
      </c>
      <c r="E107" t="s">
        <v>44</v>
      </c>
      <c r="F107" t="s">
        <v>57</v>
      </c>
      <c r="G107" t="s">
        <v>58</v>
      </c>
      <c r="H107" t="s">
        <v>25</v>
      </c>
      <c r="I107" t="s">
        <v>26</v>
      </c>
      <c r="J107">
        <v>1.115</v>
      </c>
      <c r="K107" t="s">
        <v>59</v>
      </c>
      <c r="L107" t="s">
        <v>65</v>
      </c>
      <c r="M107" t="s">
        <v>73</v>
      </c>
      <c r="N107" t="s">
        <v>30</v>
      </c>
      <c r="O107" t="s">
        <v>42</v>
      </c>
      <c r="P107">
        <v>2</v>
      </c>
      <c r="Q107">
        <v>1</v>
      </c>
      <c r="R107" t="s">
        <v>32</v>
      </c>
      <c r="S107" s="2">
        <v>0.39305555555555555</v>
      </c>
      <c r="T107" t="s">
        <v>33</v>
      </c>
      <c r="U107">
        <v>7372</v>
      </c>
      <c r="V107" t="s">
        <v>108</v>
      </c>
    </row>
    <row r="108" spans="1:22" x14ac:dyDescent="0.35">
      <c r="A108" s="1">
        <v>45839</v>
      </c>
      <c r="B108">
        <v>123721576</v>
      </c>
      <c r="C108">
        <v>1987</v>
      </c>
      <c r="D108" t="s">
        <v>34</v>
      </c>
      <c r="E108" t="s">
        <v>44</v>
      </c>
      <c r="F108" t="s">
        <v>61</v>
      </c>
      <c r="G108" t="s">
        <v>62</v>
      </c>
      <c r="H108" t="s">
        <v>25</v>
      </c>
      <c r="I108" t="s">
        <v>38</v>
      </c>
      <c r="J108">
        <v>1.155</v>
      </c>
      <c r="K108" t="s">
        <v>63</v>
      </c>
      <c r="L108" t="s">
        <v>28</v>
      </c>
      <c r="M108" t="s">
        <v>64</v>
      </c>
      <c r="N108" t="s">
        <v>30</v>
      </c>
      <c r="O108" t="s">
        <v>42</v>
      </c>
      <c r="P108">
        <v>4</v>
      </c>
      <c r="Q108">
        <v>2</v>
      </c>
      <c r="R108" t="s">
        <v>32</v>
      </c>
      <c r="S108" s="2">
        <v>0.47708333333333336</v>
      </c>
      <c r="T108" t="s">
        <v>33</v>
      </c>
      <c r="U108">
        <v>110590</v>
      </c>
      <c r="V108" t="s">
        <v>105</v>
      </c>
    </row>
    <row r="109" spans="1:22" x14ac:dyDescent="0.35">
      <c r="A109" s="1">
        <v>45717</v>
      </c>
      <c r="B109">
        <v>123813876</v>
      </c>
      <c r="C109">
        <v>2005</v>
      </c>
      <c r="D109" t="s">
        <v>77</v>
      </c>
      <c r="E109" t="s">
        <v>44</v>
      </c>
      <c r="F109" t="s">
        <v>45</v>
      </c>
      <c r="G109" t="s">
        <v>46</v>
      </c>
      <c r="H109" t="s">
        <v>37</v>
      </c>
      <c r="I109" t="s">
        <v>38</v>
      </c>
      <c r="J109">
        <v>1.1519999999999999</v>
      </c>
      <c r="K109" t="s">
        <v>47</v>
      </c>
      <c r="L109" t="s">
        <v>40</v>
      </c>
      <c r="M109" t="s">
        <v>41</v>
      </c>
      <c r="N109" t="s">
        <v>30</v>
      </c>
      <c r="O109" t="s">
        <v>42</v>
      </c>
      <c r="P109">
        <v>4</v>
      </c>
      <c r="Q109">
        <v>2</v>
      </c>
      <c r="R109" t="s">
        <v>89</v>
      </c>
      <c r="S109" s="2">
        <v>0.45208333333333334</v>
      </c>
      <c r="T109" t="s">
        <v>33</v>
      </c>
      <c r="U109">
        <v>100152</v>
      </c>
      <c r="V109" t="s">
        <v>102</v>
      </c>
    </row>
    <row r="110" spans="1:22" x14ac:dyDescent="0.35">
      <c r="A110" s="1">
        <v>45962</v>
      </c>
      <c r="B110">
        <v>123683722</v>
      </c>
      <c r="C110">
        <v>1968</v>
      </c>
      <c r="D110" t="s">
        <v>77</v>
      </c>
      <c r="E110" t="s">
        <v>44</v>
      </c>
      <c r="F110" t="s">
        <v>35</v>
      </c>
      <c r="G110" t="s">
        <v>36</v>
      </c>
      <c r="H110" t="s">
        <v>37</v>
      </c>
      <c r="I110" t="s">
        <v>38</v>
      </c>
      <c r="J110">
        <v>0.99</v>
      </c>
      <c r="K110" t="s">
        <v>39</v>
      </c>
      <c r="L110" t="s">
        <v>48</v>
      </c>
      <c r="M110" t="s">
        <v>87</v>
      </c>
      <c r="N110" t="s">
        <v>30</v>
      </c>
      <c r="O110" t="s">
        <v>67</v>
      </c>
      <c r="P110">
        <v>1</v>
      </c>
      <c r="Q110">
        <v>2</v>
      </c>
      <c r="R110" t="s">
        <v>32</v>
      </c>
      <c r="S110" s="2">
        <v>0.41041666666666665</v>
      </c>
      <c r="T110" t="s">
        <v>33</v>
      </c>
      <c r="U110">
        <v>6436</v>
      </c>
      <c r="V110" t="s">
        <v>106</v>
      </c>
    </row>
    <row r="111" spans="1:22" x14ac:dyDescent="0.35">
      <c r="A111" s="1">
        <v>45931</v>
      </c>
      <c r="B111">
        <v>123877230</v>
      </c>
      <c r="C111">
        <v>1983</v>
      </c>
      <c r="D111" t="s">
        <v>88</v>
      </c>
      <c r="E111" t="s">
        <v>44</v>
      </c>
      <c r="F111" t="s">
        <v>35</v>
      </c>
      <c r="G111" t="s">
        <v>36</v>
      </c>
      <c r="H111" t="s">
        <v>37</v>
      </c>
      <c r="I111" t="s">
        <v>38</v>
      </c>
      <c r="J111">
        <v>1.171</v>
      </c>
      <c r="K111" t="s">
        <v>39</v>
      </c>
      <c r="L111" t="s">
        <v>28</v>
      </c>
      <c r="M111" t="s">
        <v>64</v>
      </c>
      <c r="N111" t="s">
        <v>30</v>
      </c>
      <c r="O111" t="s">
        <v>31</v>
      </c>
      <c r="P111">
        <v>0</v>
      </c>
      <c r="Q111">
        <v>2</v>
      </c>
      <c r="R111" t="s">
        <v>32</v>
      </c>
      <c r="S111" s="2">
        <v>0.52569444444444446</v>
      </c>
      <c r="T111" t="s">
        <v>43</v>
      </c>
      <c r="U111">
        <v>636</v>
      </c>
      <c r="V111" t="s">
        <v>104</v>
      </c>
    </row>
    <row r="112" spans="1:22" x14ac:dyDescent="0.35">
      <c r="A112" s="1">
        <v>45809</v>
      </c>
      <c r="B112">
        <v>123569295</v>
      </c>
      <c r="C112">
        <v>1966</v>
      </c>
      <c r="D112" t="s">
        <v>56</v>
      </c>
      <c r="E112" t="s">
        <v>22</v>
      </c>
      <c r="F112" t="s">
        <v>35</v>
      </c>
      <c r="G112" t="s">
        <v>36</v>
      </c>
      <c r="H112" t="s">
        <v>37</v>
      </c>
      <c r="I112" t="s">
        <v>38</v>
      </c>
      <c r="J112">
        <v>1.218</v>
      </c>
      <c r="K112" t="s">
        <v>39</v>
      </c>
      <c r="L112" t="s">
        <v>28</v>
      </c>
      <c r="M112" t="s">
        <v>64</v>
      </c>
      <c r="N112" t="s">
        <v>30</v>
      </c>
      <c r="O112" t="s">
        <v>31</v>
      </c>
      <c r="P112">
        <v>0</v>
      </c>
      <c r="Q112">
        <v>2</v>
      </c>
      <c r="R112" t="s">
        <v>89</v>
      </c>
      <c r="S112" s="2">
        <v>0.7319444444444444</v>
      </c>
      <c r="T112" t="s">
        <v>43</v>
      </c>
      <c r="U112">
        <v>934</v>
      </c>
      <c r="V112" t="s">
        <v>100</v>
      </c>
    </row>
    <row r="113" spans="1:22" x14ac:dyDescent="0.35">
      <c r="A113" s="1">
        <v>45901</v>
      </c>
      <c r="B113">
        <v>123821149</v>
      </c>
      <c r="C113">
        <v>2000</v>
      </c>
      <c r="D113" t="s">
        <v>21</v>
      </c>
      <c r="E113" t="s">
        <v>22</v>
      </c>
      <c r="F113" t="s">
        <v>61</v>
      </c>
      <c r="G113" t="s">
        <v>62</v>
      </c>
      <c r="H113" t="s">
        <v>25</v>
      </c>
      <c r="I113" t="s">
        <v>38</v>
      </c>
      <c r="J113">
        <v>1.0389999999999999</v>
      </c>
      <c r="K113" t="s">
        <v>63</v>
      </c>
      <c r="L113" t="s">
        <v>40</v>
      </c>
      <c r="M113" t="s">
        <v>41</v>
      </c>
      <c r="N113" t="s">
        <v>30</v>
      </c>
      <c r="O113" t="s">
        <v>67</v>
      </c>
      <c r="P113">
        <v>1</v>
      </c>
      <c r="Q113">
        <v>1</v>
      </c>
      <c r="R113" t="s">
        <v>32</v>
      </c>
      <c r="S113" s="2">
        <v>0.8881944444444444</v>
      </c>
      <c r="T113" t="s">
        <v>43</v>
      </c>
      <c r="U113">
        <v>8024</v>
      </c>
      <c r="V113" t="s">
        <v>101</v>
      </c>
    </row>
    <row r="114" spans="1:22" x14ac:dyDescent="0.35">
      <c r="A114" s="1">
        <v>45870</v>
      </c>
      <c r="B114">
        <v>123853410</v>
      </c>
      <c r="C114">
        <v>1969</v>
      </c>
      <c r="D114" t="s">
        <v>34</v>
      </c>
      <c r="E114" t="s">
        <v>22</v>
      </c>
      <c r="F114" t="s">
        <v>74</v>
      </c>
      <c r="G114" t="s">
        <v>75</v>
      </c>
      <c r="H114" t="s">
        <v>37</v>
      </c>
      <c r="I114" t="s">
        <v>26</v>
      </c>
      <c r="J114">
        <v>0.94399999999999995</v>
      </c>
      <c r="K114" t="s">
        <v>76</v>
      </c>
      <c r="L114" t="s">
        <v>28</v>
      </c>
      <c r="M114" t="s">
        <v>55</v>
      </c>
      <c r="N114" t="s">
        <v>30</v>
      </c>
      <c r="O114" t="s">
        <v>31</v>
      </c>
      <c r="P114">
        <v>0</v>
      </c>
      <c r="Q114">
        <v>2</v>
      </c>
      <c r="R114" t="s">
        <v>89</v>
      </c>
      <c r="S114" s="2">
        <v>0.4597222222222222</v>
      </c>
      <c r="T114" t="s">
        <v>33</v>
      </c>
      <c r="U114">
        <v>1744</v>
      </c>
      <c r="V114" t="s">
        <v>109</v>
      </c>
    </row>
    <row r="115" spans="1:22" x14ac:dyDescent="0.35">
      <c r="A115" s="1">
        <v>45748</v>
      </c>
      <c r="B115">
        <v>123857597</v>
      </c>
      <c r="C115">
        <v>1992</v>
      </c>
      <c r="D115" t="s">
        <v>60</v>
      </c>
      <c r="E115" t="s">
        <v>44</v>
      </c>
      <c r="F115" t="s">
        <v>57</v>
      </c>
      <c r="G115" t="s">
        <v>58</v>
      </c>
      <c r="H115" t="s">
        <v>25</v>
      </c>
      <c r="I115" t="s">
        <v>38</v>
      </c>
      <c r="J115">
        <v>0.996</v>
      </c>
      <c r="K115" t="s">
        <v>59</v>
      </c>
      <c r="L115" t="s">
        <v>65</v>
      </c>
      <c r="M115" t="s">
        <v>66</v>
      </c>
      <c r="N115" t="s">
        <v>30</v>
      </c>
      <c r="O115" t="s">
        <v>42</v>
      </c>
      <c r="P115">
        <v>3</v>
      </c>
      <c r="Q115">
        <v>2</v>
      </c>
      <c r="R115" t="s">
        <v>89</v>
      </c>
      <c r="S115" s="2">
        <v>0.71388888888888891</v>
      </c>
      <c r="T115" t="s">
        <v>43</v>
      </c>
      <c r="U115">
        <v>83100</v>
      </c>
      <c r="V115" t="s">
        <v>108</v>
      </c>
    </row>
    <row r="116" spans="1:22" x14ac:dyDescent="0.35">
      <c r="A116" s="1">
        <v>45689</v>
      </c>
      <c r="B116">
        <v>123900509</v>
      </c>
      <c r="C116">
        <v>1959</v>
      </c>
      <c r="D116" t="s">
        <v>60</v>
      </c>
      <c r="E116" t="s">
        <v>44</v>
      </c>
      <c r="F116" t="s">
        <v>23</v>
      </c>
      <c r="G116" t="s">
        <v>24</v>
      </c>
      <c r="H116" t="s">
        <v>25</v>
      </c>
      <c r="I116" t="s">
        <v>26</v>
      </c>
      <c r="J116">
        <v>1.0940000000000001</v>
      </c>
      <c r="K116" t="s">
        <v>27</v>
      </c>
      <c r="L116" t="s">
        <v>40</v>
      </c>
      <c r="M116" t="s">
        <v>41</v>
      </c>
      <c r="N116" t="s">
        <v>30</v>
      </c>
      <c r="O116" t="s">
        <v>31</v>
      </c>
      <c r="P116">
        <v>0</v>
      </c>
      <c r="Q116">
        <v>2</v>
      </c>
      <c r="R116" t="s">
        <v>89</v>
      </c>
      <c r="S116" s="2">
        <v>0.70694444444444449</v>
      </c>
      <c r="T116" t="s">
        <v>43</v>
      </c>
      <c r="U116">
        <v>2078</v>
      </c>
      <c r="V116" t="s">
        <v>99</v>
      </c>
    </row>
    <row r="117" spans="1:22" x14ac:dyDescent="0.35">
      <c r="A117" s="1">
        <v>45870</v>
      </c>
      <c r="B117">
        <v>123870816</v>
      </c>
      <c r="C117">
        <v>1957</v>
      </c>
      <c r="D117" t="s">
        <v>34</v>
      </c>
      <c r="E117" t="s">
        <v>44</v>
      </c>
      <c r="F117" t="s">
        <v>70</v>
      </c>
      <c r="G117" t="s">
        <v>71</v>
      </c>
      <c r="H117" t="s">
        <v>37</v>
      </c>
      <c r="I117" t="s">
        <v>38</v>
      </c>
      <c r="J117">
        <v>1.1220000000000001</v>
      </c>
      <c r="K117" t="s">
        <v>72</v>
      </c>
      <c r="L117" t="s">
        <v>28</v>
      </c>
      <c r="M117" t="s">
        <v>29</v>
      </c>
      <c r="N117" t="s">
        <v>30</v>
      </c>
      <c r="O117" t="s">
        <v>31</v>
      </c>
      <c r="P117">
        <v>0</v>
      </c>
      <c r="Q117">
        <v>2</v>
      </c>
      <c r="R117" t="s">
        <v>89</v>
      </c>
      <c r="S117" s="2">
        <v>0.6791666666666667</v>
      </c>
      <c r="T117" t="s">
        <v>43</v>
      </c>
      <c r="U117">
        <v>1821</v>
      </c>
      <c r="V117" t="s">
        <v>109</v>
      </c>
    </row>
    <row r="118" spans="1:22" x14ac:dyDescent="0.35">
      <c r="A118" s="1">
        <v>45689</v>
      </c>
      <c r="B118">
        <v>123801165</v>
      </c>
      <c r="C118">
        <v>1991</v>
      </c>
      <c r="D118" t="s">
        <v>60</v>
      </c>
      <c r="E118" t="s">
        <v>44</v>
      </c>
      <c r="F118" t="s">
        <v>74</v>
      </c>
      <c r="G118" t="s">
        <v>75</v>
      </c>
      <c r="H118" t="s">
        <v>37</v>
      </c>
      <c r="I118" t="s">
        <v>26</v>
      </c>
      <c r="J118">
        <v>1.1000000000000001</v>
      </c>
      <c r="K118" t="s">
        <v>76</v>
      </c>
      <c r="L118" t="s">
        <v>40</v>
      </c>
      <c r="M118" t="s">
        <v>86</v>
      </c>
      <c r="N118" t="s">
        <v>30</v>
      </c>
      <c r="O118" t="s">
        <v>42</v>
      </c>
      <c r="P118">
        <v>4</v>
      </c>
      <c r="Q118">
        <v>1</v>
      </c>
      <c r="R118" t="s">
        <v>32</v>
      </c>
      <c r="S118" s="2">
        <v>0.28055555555555556</v>
      </c>
      <c r="T118" t="s">
        <v>33</v>
      </c>
      <c r="U118">
        <v>9984</v>
      </c>
      <c r="V118" t="s">
        <v>99</v>
      </c>
    </row>
    <row r="119" spans="1:22" x14ac:dyDescent="0.35">
      <c r="A119" s="1">
        <v>45870</v>
      </c>
      <c r="B119">
        <v>123888600</v>
      </c>
      <c r="C119">
        <v>1998</v>
      </c>
      <c r="D119" t="s">
        <v>60</v>
      </c>
      <c r="E119" t="s">
        <v>22</v>
      </c>
      <c r="F119" t="s">
        <v>61</v>
      </c>
      <c r="G119" t="s">
        <v>62</v>
      </c>
      <c r="H119" t="s">
        <v>25</v>
      </c>
      <c r="I119" t="s">
        <v>38</v>
      </c>
      <c r="J119">
        <v>1.093</v>
      </c>
      <c r="K119" t="s">
        <v>63</v>
      </c>
      <c r="L119" t="s">
        <v>40</v>
      </c>
      <c r="M119" t="s">
        <v>86</v>
      </c>
      <c r="N119" t="s">
        <v>30</v>
      </c>
      <c r="O119" t="s">
        <v>31</v>
      </c>
      <c r="P119">
        <v>0</v>
      </c>
      <c r="Q119">
        <v>3</v>
      </c>
      <c r="R119" t="s">
        <v>32</v>
      </c>
      <c r="S119" s="2">
        <v>0.72083333333333333</v>
      </c>
      <c r="T119" t="s">
        <v>43</v>
      </c>
      <c r="U119">
        <v>1950</v>
      </c>
      <c r="V119" t="s">
        <v>109</v>
      </c>
    </row>
    <row r="120" spans="1:22" x14ac:dyDescent="0.35">
      <c r="A120" s="1">
        <v>45689</v>
      </c>
      <c r="B120">
        <v>123654120</v>
      </c>
      <c r="C120">
        <v>2001</v>
      </c>
      <c r="D120" t="s">
        <v>50</v>
      </c>
      <c r="E120" t="s">
        <v>22</v>
      </c>
      <c r="F120" t="s">
        <v>70</v>
      </c>
      <c r="G120" t="s">
        <v>71</v>
      </c>
      <c r="H120" t="s">
        <v>37</v>
      </c>
      <c r="I120" t="s">
        <v>38</v>
      </c>
      <c r="J120">
        <v>0.98199999999999998</v>
      </c>
      <c r="K120" t="s">
        <v>72</v>
      </c>
      <c r="L120" t="s">
        <v>48</v>
      </c>
      <c r="M120" t="s">
        <v>49</v>
      </c>
      <c r="N120" t="s">
        <v>30</v>
      </c>
      <c r="O120" t="s">
        <v>42</v>
      </c>
      <c r="P120">
        <v>4</v>
      </c>
      <c r="Q120">
        <v>1</v>
      </c>
      <c r="R120" t="s">
        <v>89</v>
      </c>
      <c r="S120" s="2">
        <v>0.26250000000000001</v>
      </c>
      <c r="T120" t="s">
        <v>33</v>
      </c>
      <c r="U120">
        <v>22457</v>
      </c>
      <c r="V120" t="s">
        <v>99</v>
      </c>
    </row>
    <row r="121" spans="1:22" x14ac:dyDescent="0.35">
      <c r="A121" s="1">
        <v>45931</v>
      </c>
      <c r="B121">
        <v>123745514</v>
      </c>
      <c r="C121">
        <v>1994</v>
      </c>
      <c r="D121" t="s">
        <v>60</v>
      </c>
      <c r="E121" t="s">
        <v>22</v>
      </c>
      <c r="F121" t="s">
        <v>74</v>
      </c>
      <c r="G121" t="s">
        <v>75</v>
      </c>
      <c r="H121" t="s">
        <v>37</v>
      </c>
      <c r="I121" t="s">
        <v>38</v>
      </c>
      <c r="J121">
        <v>1.06</v>
      </c>
      <c r="K121" t="s">
        <v>76</v>
      </c>
      <c r="L121" t="s">
        <v>28</v>
      </c>
      <c r="M121" t="s">
        <v>29</v>
      </c>
      <c r="N121" t="s">
        <v>30</v>
      </c>
      <c r="O121" t="s">
        <v>31</v>
      </c>
      <c r="P121">
        <v>0</v>
      </c>
      <c r="Q121">
        <v>2</v>
      </c>
      <c r="R121" t="s">
        <v>89</v>
      </c>
      <c r="S121" s="2">
        <v>0.85347222222222219</v>
      </c>
      <c r="T121" t="s">
        <v>43</v>
      </c>
      <c r="U121">
        <v>791</v>
      </c>
      <c r="V121" t="s">
        <v>104</v>
      </c>
    </row>
    <row r="122" spans="1:22" x14ac:dyDescent="0.35">
      <c r="A122" s="1">
        <v>45931</v>
      </c>
      <c r="B122">
        <v>123626280</v>
      </c>
      <c r="C122">
        <v>1984</v>
      </c>
      <c r="D122" t="s">
        <v>60</v>
      </c>
      <c r="E122" t="s">
        <v>44</v>
      </c>
      <c r="F122" t="s">
        <v>51</v>
      </c>
      <c r="G122" t="s">
        <v>52</v>
      </c>
      <c r="H122" t="s">
        <v>53</v>
      </c>
      <c r="I122" t="s">
        <v>26</v>
      </c>
      <c r="J122">
        <v>0.84</v>
      </c>
      <c r="K122" t="s">
        <v>54</v>
      </c>
      <c r="L122" t="s">
        <v>28</v>
      </c>
      <c r="M122" t="s">
        <v>29</v>
      </c>
      <c r="N122" t="s">
        <v>30</v>
      </c>
      <c r="O122" t="s">
        <v>31</v>
      </c>
      <c r="P122">
        <v>0</v>
      </c>
      <c r="Q122">
        <v>3</v>
      </c>
      <c r="R122" t="s">
        <v>32</v>
      </c>
      <c r="S122" s="2">
        <v>0.83750000000000002</v>
      </c>
      <c r="T122" t="s">
        <v>43</v>
      </c>
      <c r="U122">
        <v>173</v>
      </c>
      <c r="V122" t="s">
        <v>104</v>
      </c>
    </row>
    <row r="123" spans="1:22" x14ac:dyDescent="0.35">
      <c r="A123" s="1">
        <v>45809</v>
      </c>
      <c r="B123">
        <v>123536394</v>
      </c>
      <c r="C123">
        <v>1994</v>
      </c>
      <c r="D123" t="s">
        <v>81</v>
      </c>
      <c r="E123" t="s">
        <v>44</v>
      </c>
      <c r="F123" t="s">
        <v>57</v>
      </c>
      <c r="G123" t="s">
        <v>58</v>
      </c>
      <c r="H123" t="s">
        <v>25</v>
      </c>
      <c r="I123" t="s">
        <v>38</v>
      </c>
      <c r="J123">
        <v>1.087</v>
      </c>
      <c r="K123" t="s">
        <v>59</v>
      </c>
      <c r="L123" t="s">
        <v>48</v>
      </c>
      <c r="M123" t="s">
        <v>87</v>
      </c>
      <c r="N123" t="s">
        <v>30</v>
      </c>
      <c r="O123" t="s">
        <v>31</v>
      </c>
      <c r="P123">
        <v>0</v>
      </c>
      <c r="Q123">
        <v>2</v>
      </c>
      <c r="R123" t="s">
        <v>32</v>
      </c>
      <c r="S123" s="2">
        <v>0.625</v>
      </c>
      <c r="T123" t="s">
        <v>43</v>
      </c>
      <c r="U123">
        <v>939</v>
      </c>
      <c r="V123" t="s">
        <v>100</v>
      </c>
    </row>
    <row r="124" spans="1:22" x14ac:dyDescent="0.35">
      <c r="A124" s="1">
        <v>45748</v>
      </c>
      <c r="B124">
        <v>123965252</v>
      </c>
      <c r="C124">
        <v>1993</v>
      </c>
      <c r="D124" t="s">
        <v>91</v>
      </c>
      <c r="E124" t="s">
        <v>22</v>
      </c>
      <c r="F124" t="s">
        <v>23</v>
      </c>
      <c r="G124" t="s">
        <v>24</v>
      </c>
      <c r="H124" t="s">
        <v>25</v>
      </c>
      <c r="I124" t="s">
        <v>38</v>
      </c>
      <c r="J124">
        <v>1.0580000000000001</v>
      </c>
      <c r="K124" t="s">
        <v>27</v>
      </c>
      <c r="L124" t="s">
        <v>65</v>
      </c>
      <c r="M124" t="s">
        <v>66</v>
      </c>
      <c r="N124" t="s">
        <v>30</v>
      </c>
      <c r="O124" t="s">
        <v>42</v>
      </c>
      <c r="P124">
        <v>5</v>
      </c>
      <c r="Q124">
        <v>2</v>
      </c>
      <c r="R124" t="s">
        <v>89</v>
      </c>
      <c r="S124" s="2">
        <v>0.2951388888888889</v>
      </c>
      <c r="T124" t="s">
        <v>33</v>
      </c>
      <c r="U124">
        <v>7883</v>
      </c>
      <c r="V124" t="s">
        <v>108</v>
      </c>
    </row>
    <row r="125" spans="1:22" x14ac:dyDescent="0.35">
      <c r="A125" s="1">
        <v>45870</v>
      </c>
      <c r="B125">
        <v>123757926</v>
      </c>
      <c r="C125">
        <v>1987</v>
      </c>
      <c r="D125" t="s">
        <v>88</v>
      </c>
      <c r="E125" t="s">
        <v>44</v>
      </c>
      <c r="F125" t="s">
        <v>45</v>
      </c>
      <c r="G125" t="s">
        <v>46</v>
      </c>
      <c r="H125" t="s">
        <v>37</v>
      </c>
      <c r="I125" t="s">
        <v>38</v>
      </c>
      <c r="J125">
        <v>1.0589999999999999</v>
      </c>
      <c r="K125" t="s">
        <v>47</v>
      </c>
      <c r="L125" t="s">
        <v>65</v>
      </c>
      <c r="M125" t="s">
        <v>73</v>
      </c>
      <c r="N125" t="s">
        <v>30</v>
      </c>
      <c r="O125" t="s">
        <v>31</v>
      </c>
      <c r="P125">
        <v>0</v>
      </c>
      <c r="Q125">
        <v>2</v>
      </c>
      <c r="R125" t="s">
        <v>32</v>
      </c>
      <c r="S125" s="2">
        <v>0.83263888888888893</v>
      </c>
      <c r="T125" t="s">
        <v>43</v>
      </c>
      <c r="U125">
        <v>329</v>
      </c>
      <c r="V125" t="s">
        <v>109</v>
      </c>
    </row>
    <row r="126" spans="1:22" x14ac:dyDescent="0.35">
      <c r="A126" s="1">
        <v>45689</v>
      </c>
      <c r="B126">
        <v>123694219</v>
      </c>
      <c r="C126">
        <v>1976</v>
      </c>
      <c r="D126" t="s">
        <v>69</v>
      </c>
      <c r="E126" t="s">
        <v>44</v>
      </c>
      <c r="F126" t="s">
        <v>70</v>
      </c>
      <c r="G126" t="s">
        <v>71</v>
      </c>
      <c r="H126" t="s">
        <v>37</v>
      </c>
      <c r="I126" t="s">
        <v>26</v>
      </c>
      <c r="J126">
        <v>0.96399999999999997</v>
      </c>
      <c r="K126" t="s">
        <v>72</v>
      </c>
      <c r="L126" t="s">
        <v>28</v>
      </c>
      <c r="M126" t="s">
        <v>55</v>
      </c>
      <c r="N126" t="s">
        <v>30</v>
      </c>
      <c r="O126" t="s">
        <v>31</v>
      </c>
      <c r="P126">
        <v>0</v>
      </c>
      <c r="Q126">
        <v>1</v>
      </c>
      <c r="R126" t="s">
        <v>89</v>
      </c>
      <c r="S126" s="2">
        <v>0.42986111111111114</v>
      </c>
      <c r="T126" t="s">
        <v>33</v>
      </c>
      <c r="U126">
        <v>198</v>
      </c>
      <c r="V126" t="s">
        <v>99</v>
      </c>
    </row>
    <row r="127" spans="1:22" x14ac:dyDescent="0.35">
      <c r="A127" s="1">
        <v>45931</v>
      </c>
      <c r="B127">
        <v>123551743</v>
      </c>
      <c r="C127">
        <v>1980</v>
      </c>
      <c r="D127" t="s">
        <v>56</v>
      </c>
      <c r="E127" t="s">
        <v>44</v>
      </c>
      <c r="F127" t="s">
        <v>57</v>
      </c>
      <c r="G127" t="s">
        <v>58</v>
      </c>
      <c r="H127" t="s">
        <v>25</v>
      </c>
      <c r="I127" t="s">
        <v>38</v>
      </c>
      <c r="J127">
        <v>1.1579999999999999</v>
      </c>
      <c r="K127" t="s">
        <v>59</v>
      </c>
      <c r="L127" t="s">
        <v>28</v>
      </c>
      <c r="M127" t="s">
        <v>55</v>
      </c>
      <c r="N127" t="s">
        <v>30</v>
      </c>
      <c r="O127" t="s">
        <v>67</v>
      </c>
      <c r="P127">
        <v>1</v>
      </c>
      <c r="Q127">
        <v>1</v>
      </c>
      <c r="R127" t="s">
        <v>32</v>
      </c>
      <c r="S127" s="2">
        <v>0.72152777777777777</v>
      </c>
      <c r="T127" t="s">
        <v>43</v>
      </c>
      <c r="U127">
        <v>6784</v>
      </c>
      <c r="V127" t="s">
        <v>104</v>
      </c>
    </row>
    <row r="128" spans="1:22" x14ac:dyDescent="0.35">
      <c r="A128" s="1">
        <v>45717</v>
      </c>
      <c r="B128">
        <v>123756827</v>
      </c>
      <c r="C128">
        <v>1965</v>
      </c>
      <c r="D128" t="s">
        <v>88</v>
      </c>
      <c r="E128" t="s">
        <v>44</v>
      </c>
      <c r="F128" t="s">
        <v>45</v>
      </c>
      <c r="G128" t="s">
        <v>46</v>
      </c>
      <c r="H128" t="s">
        <v>37</v>
      </c>
      <c r="I128" t="s">
        <v>38</v>
      </c>
      <c r="J128">
        <v>0.877</v>
      </c>
      <c r="K128" t="s">
        <v>47</v>
      </c>
      <c r="L128" t="s">
        <v>28</v>
      </c>
      <c r="M128" t="s">
        <v>29</v>
      </c>
      <c r="N128" t="s">
        <v>30</v>
      </c>
      <c r="O128" t="s">
        <v>31</v>
      </c>
      <c r="P128">
        <v>0</v>
      </c>
      <c r="Q128">
        <v>1</v>
      </c>
      <c r="R128" t="s">
        <v>89</v>
      </c>
      <c r="S128" s="2">
        <v>0.27291666666666664</v>
      </c>
      <c r="T128" t="s">
        <v>33</v>
      </c>
      <c r="U128">
        <v>1845</v>
      </c>
      <c r="V128" t="s">
        <v>102</v>
      </c>
    </row>
    <row r="129" spans="1:22" x14ac:dyDescent="0.35">
      <c r="A129" s="1">
        <v>45992</v>
      </c>
      <c r="B129">
        <v>123652265</v>
      </c>
      <c r="C129">
        <v>1982</v>
      </c>
      <c r="D129" t="s">
        <v>91</v>
      </c>
      <c r="E129" t="s">
        <v>44</v>
      </c>
      <c r="F129" t="s">
        <v>23</v>
      </c>
      <c r="G129" t="s">
        <v>24</v>
      </c>
      <c r="H129" t="s">
        <v>25</v>
      </c>
      <c r="I129" t="s">
        <v>38</v>
      </c>
      <c r="J129">
        <v>1.091</v>
      </c>
      <c r="K129" t="s">
        <v>27</v>
      </c>
      <c r="L129" t="s">
        <v>40</v>
      </c>
      <c r="M129" t="s">
        <v>41</v>
      </c>
      <c r="N129" t="s">
        <v>30</v>
      </c>
      <c r="O129" t="s">
        <v>31</v>
      </c>
      <c r="P129">
        <v>0</v>
      </c>
      <c r="Q129">
        <v>2</v>
      </c>
      <c r="R129" t="s">
        <v>32</v>
      </c>
      <c r="S129" s="2">
        <v>0.57916666666666672</v>
      </c>
      <c r="T129" t="s">
        <v>43</v>
      </c>
      <c r="U129">
        <v>1177</v>
      </c>
      <c r="V129" t="s">
        <v>103</v>
      </c>
    </row>
    <row r="130" spans="1:22" x14ac:dyDescent="0.35">
      <c r="A130" s="1">
        <v>45870</v>
      </c>
      <c r="B130">
        <v>123532120</v>
      </c>
      <c r="C130">
        <v>1966</v>
      </c>
      <c r="D130" t="s">
        <v>56</v>
      </c>
      <c r="E130" t="s">
        <v>44</v>
      </c>
      <c r="F130" t="s">
        <v>70</v>
      </c>
      <c r="G130" t="s">
        <v>71</v>
      </c>
      <c r="H130" t="s">
        <v>37</v>
      </c>
      <c r="I130" t="s">
        <v>26</v>
      </c>
      <c r="J130">
        <v>1.0029999999999999</v>
      </c>
      <c r="K130" t="s">
        <v>72</v>
      </c>
      <c r="L130" t="s">
        <v>28</v>
      </c>
      <c r="M130" t="s">
        <v>64</v>
      </c>
      <c r="N130" t="s">
        <v>30</v>
      </c>
      <c r="O130" t="s">
        <v>42</v>
      </c>
      <c r="P130">
        <v>4</v>
      </c>
      <c r="Q130">
        <v>1</v>
      </c>
      <c r="R130" t="s">
        <v>89</v>
      </c>
      <c r="S130" s="2">
        <v>0.61527777777777781</v>
      </c>
      <c r="T130" t="s">
        <v>43</v>
      </c>
      <c r="U130">
        <v>46347</v>
      </c>
      <c r="V130" t="s">
        <v>109</v>
      </c>
    </row>
    <row r="131" spans="1:22" x14ac:dyDescent="0.35">
      <c r="A131" s="1">
        <v>45870</v>
      </c>
      <c r="B131">
        <v>123660739</v>
      </c>
      <c r="C131">
        <v>2005</v>
      </c>
      <c r="D131" t="s">
        <v>21</v>
      </c>
      <c r="E131" t="s">
        <v>22</v>
      </c>
      <c r="F131" t="s">
        <v>83</v>
      </c>
      <c r="G131" t="s">
        <v>84</v>
      </c>
      <c r="H131" t="s">
        <v>53</v>
      </c>
      <c r="I131" t="s">
        <v>38</v>
      </c>
      <c r="J131">
        <v>1.173</v>
      </c>
      <c r="K131" t="s">
        <v>85</v>
      </c>
      <c r="L131" t="s">
        <v>40</v>
      </c>
      <c r="M131" t="s">
        <v>41</v>
      </c>
      <c r="N131" t="s">
        <v>30</v>
      </c>
      <c r="O131" t="s">
        <v>42</v>
      </c>
      <c r="P131">
        <v>6</v>
      </c>
      <c r="Q131">
        <v>1</v>
      </c>
      <c r="R131" t="s">
        <v>89</v>
      </c>
      <c r="S131" s="2">
        <v>0.42986111111111114</v>
      </c>
      <c r="T131" t="s">
        <v>33</v>
      </c>
      <c r="U131">
        <v>54256</v>
      </c>
      <c r="V131" t="s">
        <v>109</v>
      </c>
    </row>
    <row r="132" spans="1:22" x14ac:dyDescent="0.35">
      <c r="A132" s="1">
        <v>45748</v>
      </c>
      <c r="B132">
        <v>123810642</v>
      </c>
      <c r="C132">
        <v>1971</v>
      </c>
      <c r="D132" t="s">
        <v>77</v>
      </c>
      <c r="E132" t="s">
        <v>44</v>
      </c>
      <c r="F132" t="s">
        <v>74</v>
      </c>
      <c r="G132" t="s">
        <v>75</v>
      </c>
      <c r="H132" t="s">
        <v>37</v>
      </c>
      <c r="I132" t="s">
        <v>26</v>
      </c>
      <c r="J132">
        <v>1.2470000000000001</v>
      </c>
      <c r="K132" t="s">
        <v>76</v>
      </c>
      <c r="L132" t="s">
        <v>28</v>
      </c>
      <c r="M132" t="s">
        <v>29</v>
      </c>
      <c r="N132" t="s">
        <v>30</v>
      </c>
      <c r="O132" t="s">
        <v>67</v>
      </c>
      <c r="P132">
        <v>1</v>
      </c>
      <c r="Q132">
        <v>2</v>
      </c>
      <c r="R132" t="s">
        <v>89</v>
      </c>
      <c r="S132" s="2">
        <v>0.64722222222222225</v>
      </c>
      <c r="T132" t="s">
        <v>43</v>
      </c>
      <c r="U132">
        <v>4547</v>
      </c>
      <c r="V132" t="s">
        <v>108</v>
      </c>
    </row>
    <row r="133" spans="1:22" x14ac:dyDescent="0.35">
      <c r="A133" s="1">
        <v>45658</v>
      </c>
      <c r="B133">
        <v>123992726</v>
      </c>
      <c r="C133">
        <v>1988</v>
      </c>
      <c r="D133" t="s">
        <v>92</v>
      </c>
      <c r="E133" t="s">
        <v>22</v>
      </c>
      <c r="F133" t="s">
        <v>70</v>
      </c>
      <c r="G133" t="s">
        <v>71</v>
      </c>
      <c r="H133" t="s">
        <v>37</v>
      </c>
      <c r="I133" t="s">
        <v>38</v>
      </c>
      <c r="J133">
        <v>1.048</v>
      </c>
      <c r="K133" t="s">
        <v>72</v>
      </c>
      <c r="L133" t="s">
        <v>48</v>
      </c>
      <c r="M133" t="s">
        <v>87</v>
      </c>
      <c r="N133" t="s">
        <v>30</v>
      </c>
      <c r="O133" t="s">
        <v>67</v>
      </c>
      <c r="P133">
        <v>1</v>
      </c>
      <c r="Q133">
        <v>2</v>
      </c>
      <c r="R133" t="s">
        <v>32</v>
      </c>
      <c r="S133" s="2">
        <v>0.89027777777777772</v>
      </c>
      <c r="T133" t="s">
        <v>43</v>
      </c>
      <c r="U133">
        <v>1797</v>
      </c>
      <c r="V133" t="s">
        <v>107</v>
      </c>
    </row>
    <row r="134" spans="1:22" x14ac:dyDescent="0.35">
      <c r="A134" s="1">
        <v>45689</v>
      </c>
      <c r="B134">
        <v>123458660</v>
      </c>
      <c r="C134">
        <v>1987</v>
      </c>
      <c r="D134" t="s">
        <v>56</v>
      </c>
      <c r="E134" t="s">
        <v>22</v>
      </c>
      <c r="F134" t="s">
        <v>45</v>
      </c>
      <c r="G134" t="s">
        <v>46</v>
      </c>
      <c r="H134" t="s">
        <v>37</v>
      </c>
      <c r="I134" t="s">
        <v>38</v>
      </c>
      <c r="J134">
        <v>1.07</v>
      </c>
      <c r="K134" t="s">
        <v>47</v>
      </c>
      <c r="L134" t="s">
        <v>28</v>
      </c>
      <c r="M134" t="s">
        <v>64</v>
      </c>
      <c r="N134" t="s">
        <v>30</v>
      </c>
      <c r="O134" t="s">
        <v>42</v>
      </c>
      <c r="P134">
        <v>4</v>
      </c>
      <c r="Q134">
        <v>3</v>
      </c>
      <c r="R134" t="s">
        <v>89</v>
      </c>
      <c r="S134" s="2">
        <v>0.50486111111111109</v>
      </c>
      <c r="T134" t="s">
        <v>43</v>
      </c>
      <c r="U134">
        <v>111745</v>
      </c>
      <c r="V134" t="s">
        <v>99</v>
      </c>
    </row>
    <row r="135" spans="1:22" x14ac:dyDescent="0.35">
      <c r="A135" s="1">
        <v>45992</v>
      </c>
      <c r="B135">
        <v>123846460</v>
      </c>
      <c r="C135">
        <v>1991</v>
      </c>
      <c r="D135" t="s">
        <v>21</v>
      </c>
      <c r="E135" t="s">
        <v>22</v>
      </c>
      <c r="F135" t="s">
        <v>23</v>
      </c>
      <c r="G135" t="s">
        <v>24</v>
      </c>
      <c r="H135" t="s">
        <v>25</v>
      </c>
      <c r="I135" t="s">
        <v>38</v>
      </c>
      <c r="J135">
        <v>1.1140000000000001</v>
      </c>
      <c r="K135" t="s">
        <v>27</v>
      </c>
      <c r="L135" t="s">
        <v>40</v>
      </c>
      <c r="M135" t="s">
        <v>41</v>
      </c>
      <c r="N135" t="s">
        <v>30</v>
      </c>
      <c r="O135" t="s">
        <v>42</v>
      </c>
      <c r="P135">
        <v>4</v>
      </c>
      <c r="Q135">
        <v>1</v>
      </c>
      <c r="R135" t="s">
        <v>89</v>
      </c>
      <c r="S135" s="2">
        <v>0.76527777777777772</v>
      </c>
      <c r="T135" t="s">
        <v>43</v>
      </c>
      <c r="U135">
        <v>51469</v>
      </c>
      <c r="V135" t="s">
        <v>103</v>
      </c>
    </row>
    <row r="136" spans="1:22" x14ac:dyDescent="0.35">
      <c r="A136" s="1">
        <v>45809</v>
      </c>
      <c r="B136">
        <v>123916406</v>
      </c>
      <c r="C136">
        <v>1968</v>
      </c>
      <c r="D136" t="s">
        <v>21</v>
      </c>
      <c r="E136" t="s">
        <v>22</v>
      </c>
      <c r="F136" t="s">
        <v>57</v>
      </c>
      <c r="G136" t="s">
        <v>58</v>
      </c>
      <c r="H136" t="s">
        <v>25</v>
      </c>
      <c r="I136" t="s">
        <v>38</v>
      </c>
      <c r="J136">
        <v>1.333</v>
      </c>
      <c r="K136" t="s">
        <v>59</v>
      </c>
      <c r="L136" t="s">
        <v>40</v>
      </c>
      <c r="M136" t="s">
        <v>41</v>
      </c>
      <c r="N136" t="s">
        <v>30</v>
      </c>
      <c r="O136" t="s">
        <v>42</v>
      </c>
      <c r="P136">
        <v>2</v>
      </c>
      <c r="Q136">
        <v>3</v>
      </c>
      <c r="R136" t="s">
        <v>32</v>
      </c>
      <c r="S136" s="2">
        <v>0.26527777777777778</v>
      </c>
      <c r="T136" t="s">
        <v>33</v>
      </c>
      <c r="U136">
        <v>21474</v>
      </c>
      <c r="V136" t="s">
        <v>100</v>
      </c>
    </row>
    <row r="137" spans="1:22" x14ac:dyDescent="0.35">
      <c r="A137" s="1">
        <v>45809</v>
      </c>
      <c r="B137">
        <v>123686548</v>
      </c>
      <c r="C137">
        <v>1985</v>
      </c>
      <c r="D137" t="s">
        <v>82</v>
      </c>
      <c r="E137" t="s">
        <v>22</v>
      </c>
      <c r="F137" t="s">
        <v>57</v>
      </c>
      <c r="G137" t="s">
        <v>58</v>
      </c>
      <c r="H137" t="s">
        <v>25</v>
      </c>
      <c r="I137" t="s">
        <v>38</v>
      </c>
      <c r="J137">
        <v>1.266</v>
      </c>
      <c r="K137" t="s">
        <v>59</v>
      </c>
      <c r="L137" t="s">
        <v>28</v>
      </c>
      <c r="M137" t="s">
        <v>29</v>
      </c>
      <c r="N137" t="s">
        <v>30</v>
      </c>
      <c r="O137" t="s">
        <v>42</v>
      </c>
      <c r="P137">
        <v>3</v>
      </c>
      <c r="Q137">
        <v>2</v>
      </c>
      <c r="R137" t="s">
        <v>89</v>
      </c>
      <c r="S137" s="2">
        <v>0.7319444444444444</v>
      </c>
      <c r="T137" t="s">
        <v>43</v>
      </c>
      <c r="U137">
        <v>84130</v>
      </c>
      <c r="V137" t="s">
        <v>100</v>
      </c>
    </row>
    <row r="138" spans="1:22" x14ac:dyDescent="0.35">
      <c r="A138" s="1">
        <v>45658</v>
      </c>
      <c r="B138">
        <v>123603405</v>
      </c>
      <c r="C138">
        <v>1989</v>
      </c>
      <c r="D138" t="s">
        <v>21</v>
      </c>
      <c r="E138" t="s">
        <v>44</v>
      </c>
      <c r="F138" t="s">
        <v>35</v>
      </c>
      <c r="G138" t="s">
        <v>36</v>
      </c>
      <c r="H138" t="s">
        <v>37</v>
      </c>
      <c r="I138" t="s">
        <v>38</v>
      </c>
      <c r="J138">
        <v>1.046</v>
      </c>
      <c r="K138" t="s">
        <v>39</v>
      </c>
      <c r="L138" t="s">
        <v>28</v>
      </c>
      <c r="M138" t="s">
        <v>55</v>
      </c>
      <c r="N138" t="s">
        <v>30</v>
      </c>
      <c r="O138" t="s">
        <v>42</v>
      </c>
      <c r="P138">
        <v>3</v>
      </c>
      <c r="Q138">
        <v>2</v>
      </c>
      <c r="R138" t="s">
        <v>32</v>
      </c>
      <c r="S138" s="2">
        <v>0.86388888888888893</v>
      </c>
      <c r="T138" t="s">
        <v>43</v>
      </c>
      <c r="U138">
        <v>39307</v>
      </c>
      <c r="V138" t="s">
        <v>107</v>
      </c>
    </row>
    <row r="139" spans="1:22" x14ac:dyDescent="0.35">
      <c r="A139" s="1">
        <v>45658</v>
      </c>
      <c r="B139">
        <v>123918689</v>
      </c>
      <c r="C139">
        <v>1997</v>
      </c>
      <c r="D139" t="s">
        <v>77</v>
      </c>
      <c r="E139" t="s">
        <v>44</v>
      </c>
      <c r="F139" t="s">
        <v>23</v>
      </c>
      <c r="G139" t="s">
        <v>24</v>
      </c>
      <c r="H139" t="s">
        <v>25</v>
      </c>
      <c r="I139" t="s">
        <v>38</v>
      </c>
      <c r="J139">
        <v>1.1319999999999999</v>
      </c>
      <c r="K139" t="s">
        <v>27</v>
      </c>
      <c r="L139" t="s">
        <v>28</v>
      </c>
      <c r="M139" t="s">
        <v>64</v>
      </c>
      <c r="N139" t="s">
        <v>30</v>
      </c>
      <c r="O139" t="s">
        <v>67</v>
      </c>
      <c r="P139">
        <v>1</v>
      </c>
      <c r="Q139">
        <v>2</v>
      </c>
      <c r="R139" t="s">
        <v>89</v>
      </c>
      <c r="S139" s="2">
        <v>0.72569444444444442</v>
      </c>
      <c r="T139" t="s">
        <v>43</v>
      </c>
      <c r="U139">
        <v>7498</v>
      </c>
      <c r="V139" t="s">
        <v>107</v>
      </c>
    </row>
    <row r="140" spans="1:22" x14ac:dyDescent="0.35">
      <c r="A140" s="1">
        <v>45748</v>
      </c>
      <c r="B140">
        <v>123933595</v>
      </c>
      <c r="C140">
        <v>1962</v>
      </c>
      <c r="D140" t="s">
        <v>68</v>
      </c>
      <c r="E140" t="s">
        <v>44</v>
      </c>
      <c r="F140" t="s">
        <v>23</v>
      </c>
      <c r="G140" t="s">
        <v>24</v>
      </c>
      <c r="H140" t="s">
        <v>25</v>
      </c>
      <c r="I140" t="s">
        <v>38</v>
      </c>
      <c r="J140">
        <v>1.07</v>
      </c>
      <c r="K140" t="s">
        <v>27</v>
      </c>
      <c r="L140" t="s">
        <v>28</v>
      </c>
      <c r="M140" t="s">
        <v>64</v>
      </c>
      <c r="N140" t="s">
        <v>30</v>
      </c>
      <c r="O140" t="s">
        <v>31</v>
      </c>
      <c r="P140">
        <v>0</v>
      </c>
      <c r="Q140">
        <v>1</v>
      </c>
      <c r="R140" t="s">
        <v>89</v>
      </c>
      <c r="S140" s="2">
        <v>0.90069444444444446</v>
      </c>
      <c r="T140" t="s">
        <v>43</v>
      </c>
      <c r="U140">
        <v>585</v>
      </c>
      <c r="V140" t="s">
        <v>108</v>
      </c>
    </row>
    <row r="141" spans="1:22" x14ac:dyDescent="0.35">
      <c r="A141" s="1">
        <v>45901</v>
      </c>
      <c r="B141">
        <v>123522770</v>
      </c>
      <c r="C141">
        <v>1988</v>
      </c>
      <c r="D141" t="s">
        <v>60</v>
      </c>
      <c r="E141" t="s">
        <v>44</v>
      </c>
      <c r="F141" t="s">
        <v>78</v>
      </c>
      <c r="G141" t="s">
        <v>79</v>
      </c>
      <c r="H141" t="s">
        <v>37</v>
      </c>
      <c r="I141" t="s">
        <v>38</v>
      </c>
      <c r="J141">
        <v>1.0289999999999999</v>
      </c>
      <c r="K141" t="s">
        <v>80</v>
      </c>
      <c r="L141" t="s">
        <v>48</v>
      </c>
      <c r="M141" t="s">
        <v>49</v>
      </c>
      <c r="N141" t="s">
        <v>30</v>
      </c>
      <c r="O141" t="s">
        <v>67</v>
      </c>
      <c r="P141">
        <v>1</v>
      </c>
      <c r="Q141">
        <v>3</v>
      </c>
      <c r="R141" t="s">
        <v>89</v>
      </c>
      <c r="S141" s="2">
        <v>0.40763888888888888</v>
      </c>
      <c r="T141" t="s">
        <v>33</v>
      </c>
      <c r="U141">
        <v>9706</v>
      </c>
      <c r="V141" t="s">
        <v>101</v>
      </c>
    </row>
    <row r="142" spans="1:22" x14ac:dyDescent="0.35">
      <c r="A142" s="1">
        <v>45992</v>
      </c>
      <c r="B142">
        <v>123776011</v>
      </c>
      <c r="C142">
        <v>2001</v>
      </c>
      <c r="D142" t="s">
        <v>34</v>
      </c>
      <c r="E142" t="s">
        <v>22</v>
      </c>
      <c r="F142" t="s">
        <v>57</v>
      </c>
      <c r="G142" t="s">
        <v>58</v>
      </c>
      <c r="H142" t="s">
        <v>25</v>
      </c>
      <c r="I142" t="s">
        <v>38</v>
      </c>
      <c r="J142">
        <v>1.181</v>
      </c>
      <c r="K142" t="s">
        <v>59</v>
      </c>
      <c r="L142" t="s">
        <v>65</v>
      </c>
      <c r="M142" t="s">
        <v>66</v>
      </c>
      <c r="N142" t="s">
        <v>30</v>
      </c>
      <c r="O142" t="s">
        <v>67</v>
      </c>
      <c r="P142">
        <v>1</v>
      </c>
      <c r="Q142">
        <v>1</v>
      </c>
      <c r="R142" t="s">
        <v>89</v>
      </c>
      <c r="S142" s="2">
        <v>0.80763888888888891</v>
      </c>
      <c r="T142" t="s">
        <v>43</v>
      </c>
      <c r="U142">
        <v>4350</v>
      </c>
      <c r="V142" t="s">
        <v>103</v>
      </c>
    </row>
    <row r="143" spans="1:22" x14ac:dyDescent="0.35">
      <c r="A143" s="1">
        <v>45689</v>
      </c>
      <c r="B143">
        <v>123473613</v>
      </c>
      <c r="C143">
        <v>2003</v>
      </c>
      <c r="D143" t="s">
        <v>21</v>
      </c>
      <c r="E143" t="s">
        <v>44</v>
      </c>
      <c r="F143" t="s">
        <v>57</v>
      </c>
      <c r="G143" t="s">
        <v>58</v>
      </c>
      <c r="H143" t="s">
        <v>25</v>
      </c>
      <c r="I143" t="s">
        <v>38</v>
      </c>
      <c r="J143">
        <v>1.25</v>
      </c>
      <c r="K143" t="s">
        <v>59</v>
      </c>
      <c r="L143" t="s">
        <v>40</v>
      </c>
      <c r="M143" t="s">
        <v>41</v>
      </c>
      <c r="N143" t="s">
        <v>30</v>
      </c>
      <c r="O143" t="s">
        <v>67</v>
      </c>
      <c r="P143">
        <v>1</v>
      </c>
      <c r="Q143">
        <v>2</v>
      </c>
      <c r="R143" t="s">
        <v>89</v>
      </c>
      <c r="S143" s="2">
        <v>0.84305555555555556</v>
      </c>
      <c r="T143" t="s">
        <v>43</v>
      </c>
      <c r="U143">
        <v>1885</v>
      </c>
      <c r="V143" t="s">
        <v>99</v>
      </c>
    </row>
    <row r="144" spans="1:22" x14ac:dyDescent="0.35">
      <c r="A144" s="1">
        <v>45809</v>
      </c>
      <c r="B144">
        <v>123462692</v>
      </c>
      <c r="C144">
        <v>1990</v>
      </c>
      <c r="D144" t="s">
        <v>60</v>
      </c>
      <c r="E144" t="s">
        <v>44</v>
      </c>
      <c r="F144" t="s">
        <v>61</v>
      </c>
      <c r="G144" t="s">
        <v>62</v>
      </c>
      <c r="H144" t="s">
        <v>25</v>
      </c>
      <c r="I144" t="s">
        <v>38</v>
      </c>
      <c r="J144">
        <v>1.2549999999999999</v>
      </c>
      <c r="K144" t="s">
        <v>63</v>
      </c>
      <c r="L144" t="s">
        <v>28</v>
      </c>
      <c r="M144" t="s">
        <v>55</v>
      </c>
      <c r="N144" t="s">
        <v>30</v>
      </c>
      <c r="O144" t="s">
        <v>42</v>
      </c>
      <c r="P144">
        <v>5</v>
      </c>
      <c r="Q144">
        <v>2</v>
      </c>
      <c r="R144" t="s">
        <v>89</v>
      </c>
      <c r="S144" s="2">
        <v>0.90555555555555556</v>
      </c>
      <c r="T144" t="s">
        <v>43</v>
      </c>
      <c r="U144">
        <v>33201</v>
      </c>
      <c r="V144" t="s">
        <v>100</v>
      </c>
    </row>
    <row r="145" spans="1:22" x14ac:dyDescent="0.35">
      <c r="A145" s="1">
        <v>45839</v>
      </c>
      <c r="B145">
        <v>123616675</v>
      </c>
      <c r="C145">
        <v>2000</v>
      </c>
      <c r="D145" t="s">
        <v>34</v>
      </c>
      <c r="E145" t="s">
        <v>44</v>
      </c>
      <c r="F145" t="s">
        <v>78</v>
      </c>
      <c r="G145" t="s">
        <v>79</v>
      </c>
      <c r="H145" t="s">
        <v>37</v>
      </c>
      <c r="I145" t="s">
        <v>26</v>
      </c>
      <c r="J145">
        <v>1.0469999999999999</v>
      </c>
      <c r="K145" t="s">
        <v>80</v>
      </c>
      <c r="L145" t="s">
        <v>28</v>
      </c>
      <c r="M145" t="s">
        <v>55</v>
      </c>
      <c r="N145" t="s">
        <v>30</v>
      </c>
      <c r="O145" t="s">
        <v>42</v>
      </c>
      <c r="P145">
        <v>3</v>
      </c>
      <c r="Q145">
        <v>2</v>
      </c>
      <c r="R145" t="s">
        <v>32</v>
      </c>
      <c r="S145" s="2">
        <v>0.64652777777777781</v>
      </c>
      <c r="T145" t="s">
        <v>43</v>
      </c>
      <c r="U145">
        <v>60717</v>
      </c>
      <c r="V145" t="s">
        <v>105</v>
      </c>
    </row>
    <row r="146" spans="1:22" x14ac:dyDescent="0.35">
      <c r="A146" s="1">
        <v>45962</v>
      </c>
      <c r="B146">
        <v>123982759</v>
      </c>
      <c r="C146">
        <v>1976</v>
      </c>
      <c r="D146" t="s">
        <v>56</v>
      </c>
      <c r="E146" t="s">
        <v>44</v>
      </c>
      <c r="F146" t="s">
        <v>78</v>
      </c>
      <c r="G146" t="s">
        <v>79</v>
      </c>
      <c r="H146" t="s">
        <v>37</v>
      </c>
      <c r="I146" t="s">
        <v>38</v>
      </c>
      <c r="J146">
        <v>1.2270000000000001</v>
      </c>
      <c r="K146" t="s">
        <v>80</v>
      </c>
      <c r="L146" t="s">
        <v>65</v>
      </c>
      <c r="M146" t="s">
        <v>66</v>
      </c>
      <c r="N146" t="s">
        <v>30</v>
      </c>
      <c r="O146" t="s">
        <v>42</v>
      </c>
      <c r="P146">
        <v>3</v>
      </c>
      <c r="Q146">
        <v>2</v>
      </c>
      <c r="R146" t="s">
        <v>89</v>
      </c>
      <c r="S146" s="2">
        <v>0.72291666666666665</v>
      </c>
      <c r="T146" t="s">
        <v>43</v>
      </c>
      <c r="U146">
        <v>44659</v>
      </c>
      <c r="V146" t="s">
        <v>106</v>
      </c>
    </row>
    <row r="147" spans="1:22" x14ac:dyDescent="0.35">
      <c r="A147" s="1">
        <v>45809</v>
      </c>
      <c r="B147">
        <v>123705449</v>
      </c>
      <c r="C147">
        <v>1969</v>
      </c>
      <c r="D147" t="s">
        <v>34</v>
      </c>
      <c r="E147" t="s">
        <v>44</v>
      </c>
      <c r="F147" t="s">
        <v>61</v>
      </c>
      <c r="G147" t="s">
        <v>62</v>
      </c>
      <c r="H147" t="s">
        <v>25</v>
      </c>
      <c r="I147" t="s">
        <v>38</v>
      </c>
      <c r="J147">
        <v>1.196</v>
      </c>
      <c r="K147" t="s">
        <v>63</v>
      </c>
      <c r="L147" t="s">
        <v>28</v>
      </c>
      <c r="M147" t="s">
        <v>55</v>
      </c>
      <c r="N147" t="s">
        <v>30</v>
      </c>
      <c r="O147" t="s">
        <v>42</v>
      </c>
      <c r="P147">
        <v>3</v>
      </c>
      <c r="Q147">
        <v>2</v>
      </c>
      <c r="R147" t="s">
        <v>89</v>
      </c>
      <c r="S147" s="2">
        <v>0.89444444444444449</v>
      </c>
      <c r="T147" t="s">
        <v>43</v>
      </c>
      <c r="U147">
        <v>67213</v>
      </c>
      <c r="V147" t="s">
        <v>100</v>
      </c>
    </row>
    <row r="148" spans="1:22" x14ac:dyDescent="0.35">
      <c r="A148" s="1">
        <v>45931</v>
      </c>
      <c r="B148">
        <v>123620248</v>
      </c>
      <c r="C148">
        <v>1983</v>
      </c>
      <c r="D148" t="s">
        <v>56</v>
      </c>
      <c r="E148" t="s">
        <v>22</v>
      </c>
      <c r="F148" t="s">
        <v>51</v>
      </c>
      <c r="G148" t="s">
        <v>52</v>
      </c>
      <c r="H148" t="s">
        <v>53</v>
      </c>
      <c r="I148" t="s">
        <v>38</v>
      </c>
      <c r="J148">
        <v>1.069</v>
      </c>
      <c r="K148" t="s">
        <v>54</v>
      </c>
      <c r="L148" t="s">
        <v>48</v>
      </c>
      <c r="M148" t="s">
        <v>49</v>
      </c>
      <c r="N148" t="s">
        <v>30</v>
      </c>
      <c r="O148" t="s">
        <v>31</v>
      </c>
      <c r="P148">
        <v>0</v>
      </c>
      <c r="Q148">
        <v>2</v>
      </c>
      <c r="R148" t="s">
        <v>32</v>
      </c>
      <c r="S148" s="2">
        <v>0.36527777777777776</v>
      </c>
      <c r="T148" t="s">
        <v>33</v>
      </c>
      <c r="U148">
        <v>561</v>
      </c>
      <c r="V148" t="s">
        <v>104</v>
      </c>
    </row>
    <row r="149" spans="1:22" x14ac:dyDescent="0.35">
      <c r="A149" s="1">
        <v>45748</v>
      </c>
      <c r="B149">
        <v>123752425</v>
      </c>
      <c r="C149">
        <v>1988</v>
      </c>
      <c r="D149" t="s">
        <v>69</v>
      </c>
      <c r="E149" t="s">
        <v>44</v>
      </c>
      <c r="F149" t="s">
        <v>35</v>
      </c>
      <c r="G149" t="s">
        <v>36</v>
      </c>
      <c r="H149" t="s">
        <v>37</v>
      </c>
      <c r="I149" t="s">
        <v>38</v>
      </c>
      <c r="J149">
        <v>1.2130000000000001</v>
      </c>
      <c r="K149" t="s">
        <v>39</v>
      </c>
      <c r="L149" t="s">
        <v>28</v>
      </c>
      <c r="M149" t="s">
        <v>29</v>
      </c>
      <c r="N149" t="s">
        <v>30</v>
      </c>
      <c r="O149" t="s">
        <v>42</v>
      </c>
      <c r="P149">
        <v>4</v>
      </c>
      <c r="Q149">
        <v>2</v>
      </c>
      <c r="R149" t="s">
        <v>32</v>
      </c>
      <c r="S149" s="2">
        <v>0.42777777777777776</v>
      </c>
      <c r="T149" t="s">
        <v>33</v>
      </c>
      <c r="U149">
        <v>22859</v>
      </c>
      <c r="V149" t="s">
        <v>108</v>
      </c>
    </row>
    <row r="150" spans="1:22" x14ac:dyDescent="0.35">
      <c r="A150" s="1">
        <v>45839</v>
      </c>
      <c r="B150">
        <v>123516159</v>
      </c>
      <c r="C150">
        <v>1962</v>
      </c>
      <c r="D150" t="s">
        <v>68</v>
      </c>
      <c r="E150" t="s">
        <v>44</v>
      </c>
      <c r="F150" t="s">
        <v>57</v>
      </c>
      <c r="G150" t="s">
        <v>58</v>
      </c>
      <c r="H150" t="s">
        <v>25</v>
      </c>
      <c r="I150" t="s">
        <v>38</v>
      </c>
      <c r="J150">
        <v>1.252</v>
      </c>
      <c r="K150" t="s">
        <v>59</v>
      </c>
      <c r="L150" t="s">
        <v>28</v>
      </c>
      <c r="M150" t="s">
        <v>64</v>
      </c>
      <c r="N150" t="s">
        <v>30</v>
      </c>
      <c r="O150" t="s">
        <v>42</v>
      </c>
      <c r="P150">
        <v>4</v>
      </c>
      <c r="Q150">
        <v>2</v>
      </c>
      <c r="R150" t="s">
        <v>32</v>
      </c>
      <c r="S150" s="2">
        <v>0.83888888888888891</v>
      </c>
      <c r="T150" t="s">
        <v>43</v>
      </c>
      <c r="U150">
        <v>68195</v>
      </c>
      <c r="V150" t="s">
        <v>105</v>
      </c>
    </row>
    <row r="151" spans="1:22" x14ac:dyDescent="0.35">
      <c r="A151" s="1">
        <v>45748</v>
      </c>
      <c r="B151">
        <v>123668663</v>
      </c>
      <c r="C151">
        <v>1988</v>
      </c>
      <c r="D151" t="s">
        <v>92</v>
      </c>
      <c r="E151" t="s">
        <v>44</v>
      </c>
      <c r="F151" t="s">
        <v>74</v>
      </c>
      <c r="G151" t="s">
        <v>75</v>
      </c>
      <c r="H151" t="s">
        <v>37</v>
      </c>
      <c r="I151" t="s">
        <v>38</v>
      </c>
      <c r="J151">
        <v>0.98899999999999999</v>
      </c>
      <c r="K151" t="s">
        <v>76</v>
      </c>
      <c r="L151" t="s">
        <v>28</v>
      </c>
      <c r="M151" t="s">
        <v>55</v>
      </c>
      <c r="N151" t="s">
        <v>30</v>
      </c>
      <c r="O151" t="s">
        <v>67</v>
      </c>
      <c r="P151">
        <v>1</v>
      </c>
      <c r="Q151">
        <v>2</v>
      </c>
      <c r="R151" t="s">
        <v>89</v>
      </c>
      <c r="S151" s="2">
        <v>0.48680555555555555</v>
      </c>
      <c r="T151" t="s">
        <v>33</v>
      </c>
      <c r="U151">
        <v>7921</v>
      </c>
      <c r="V151" t="s">
        <v>108</v>
      </c>
    </row>
    <row r="152" spans="1:22" x14ac:dyDescent="0.35">
      <c r="A152" s="1">
        <v>45689</v>
      </c>
      <c r="B152">
        <v>123998385</v>
      </c>
      <c r="C152">
        <v>1993</v>
      </c>
      <c r="D152" t="s">
        <v>21</v>
      </c>
      <c r="E152" t="s">
        <v>44</v>
      </c>
      <c r="F152" t="s">
        <v>74</v>
      </c>
      <c r="G152" t="s">
        <v>75</v>
      </c>
      <c r="H152" t="s">
        <v>37</v>
      </c>
      <c r="I152" t="s">
        <v>38</v>
      </c>
      <c r="J152">
        <v>1.0629999999999999</v>
      </c>
      <c r="K152" t="s">
        <v>76</v>
      </c>
      <c r="L152" t="s">
        <v>48</v>
      </c>
      <c r="M152" t="s">
        <v>49</v>
      </c>
      <c r="N152" t="s">
        <v>30</v>
      </c>
      <c r="O152" t="s">
        <v>42</v>
      </c>
      <c r="P152">
        <v>5</v>
      </c>
      <c r="Q152">
        <v>1</v>
      </c>
      <c r="R152" t="s">
        <v>32</v>
      </c>
      <c r="S152" s="2">
        <v>0.53541666666666665</v>
      </c>
      <c r="T152" t="s">
        <v>43</v>
      </c>
      <c r="U152">
        <v>64050</v>
      </c>
      <c r="V152" t="s">
        <v>99</v>
      </c>
    </row>
    <row r="153" spans="1:22" x14ac:dyDescent="0.35">
      <c r="A153" s="1">
        <v>45901</v>
      </c>
      <c r="B153">
        <v>123934283</v>
      </c>
      <c r="C153">
        <v>1962</v>
      </c>
      <c r="D153" t="s">
        <v>34</v>
      </c>
      <c r="E153" t="s">
        <v>44</v>
      </c>
      <c r="F153" t="s">
        <v>70</v>
      </c>
      <c r="G153" t="s">
        <v>71</v>
      </c>
      <c r="H153" t="s">
        <v>37</v>
      </c>
      <c r="I153" t="s">
        <v>26</v>
      </c>
      <c r="J153">
        <v>0.999</v>
      </c>
      <c r="K153" t="s">
        <v>72</v>
      </c>
      <c r="L153" t="s">
        <v>65</v>
      </c>
      <c r="M153" t="s">
        <v>66</v>
      </c>
      <c r="N153" t="s">
        <v>30</v>
      </c>
      <c r="O153" t="s">
        <v>31</v>
      </c>
      <c r="P153">
        <v>0</v>
      </c>
      <c r="Q153">
        <v>1</v>
      </c>
      <c r="R153" t="s">
        <v>32</v>
      </c>
      <c r="S153" s="2">
        <v>0.72777777777777775</v>
      </c>
      <c r="T153" t="s">
        <v>43</v>
      </c>
      <c r="U153">
        <v>1103</v>
      </c>
      <c r="V153" t="s">
        <v>101</v>
      </c>
    </row>
    <row r="154" spans="1:22" x14ac:dyDescent="0.35">
      <c r="A154" s="1">
        <v>45901</v>
      </c>
      <c r="B154">
        <v>123513892</v>
      </c>
      <c r="C154">
        <v>1991</v>
      </c>
      <c r="D154" t="s">
        <v>81</v>
      </c>
      <c r="E154" t="s">
        <v>44</v>
      </c>
      <c r="F154" t="s">
        <v>78</v>
      </c>
      <c r="G154" t="s">
        <v>79</v>
      </c>
      <c r="H154" t="s">
        <v>37</v>
      </c>
      <c r="I154" t="s">
        <v>38</v>
      </c>
      <c r="J154">
        <v>1.1499999999999999</v>
      </c>
      <c r="K154" t="s">
        <v>80</v>
      </c>
      <c r="L154" t="s">
        <v>28</v>
      </c>
      <c r="M154" t="s">
        <v>55</v>
      </c>
      <c r="N154" t="s">
        <v>30</v>
      </c>
      <c r="O154" t="s">
        <v>31</v>
      </c>
      <c r="P154">
        <v>0</v>
      </c>
      <c r="Q154">
        <v>2</v>
      </c>
      <c r="R154" t="s">
        <v>89</v>
      </c>
      <c r="S154" s="2">
        <v>0.27152777777777776</v>
      </c>
      <c r="T154" t="s">
        <v>33</v>
      </c>
      <c r="U154">
        <v>385</v>
      </c>
      <c r="V154" t="s">
        <v>101</v>
      </c>
    </row>
    <row r="155" spans="1:22" x14ac:dyDescent="0.35">
      <c r="A155" s="1">
        <v>45992</v>
      </c>
      <c r="B155">
        <v>123818167</v>
      </c>
      <c r="C155">
        <v>2002</v>
      </c>
      <c r="D155" t="s">
        <v>69</v>
      </c>
      <c r="E155" t="s">
        <v>44</v>
      </c>
      <c r="F155" t="s">
        <v>61</v>
      </c>
      <c r="G155" t="s">
        <v>62</v>
      </c>
      <c r="H155" t="s">
        <v>25</v>
      </c>
      <c r="I155" t="s">
        <v>38</v>
      </c>
      <c r="J155">
        <v>1.139</v>
      </c>
      <c r="K155" t="s">
        <v>63</v>
      </c>
      <c r="L155" t="s">
        <v>28</v>
      </c>
      <c r="M155" t="s">
        <v>29</v>
      </c>
      <c r="N155" t="s">
        <v>30</v>
      </c>
      <c r="O155" t="s">
        <v>42</v>
      </c>
      <c r="P155">
        <v>6</v>
      </c>
      <c r="Q155">
        <v>2</v>
      </c>
      <c r="R155" t="s">
        <v>32</v>
      </c>
      <c r="S155" s="2">
        <v>0.56805555555555554</v>
      </c>
      <c r="T155" t="s">
        <v>43</v>
      </c>
      <c r="U155">
        <v>36248</v>
      </c>
      <c r="V155" t="s">
        <v>103</v>
      </c>
    </row>
    <row r="156" spans="1:22" x14ac:dyDescent="0.35">
      <c r="A156" s="1">
        <v>45992</v>
      </c>
      <c r="B156">
        <v>123795082</v>
      </c>
      <c r="C156">
        <v>1999</v>
      </c>
      <c r="D156" t="s">
        <v>60</v>
      </c>
      <c r="E156" t="s">
        <v>22</v>
      </c>
      <c r="F156" t="s">
        <v>83</v>
      </c>
      <c r="G156" t="s">
        <v>84</v>
      </c>
      <c r="H156" t="s">
        <v>53</v>
      </c>
      <c r="I156" t="s">
        <v>38</v>
      </c>
      <c r="J156">
        <v>0.878</v>
      </c>
      <c r="K156" t="s">
        <v>85</v>
      </c>
      <c r="L156" t="s">
        <v>28</v>
      </c>
      <c r="M156" t="s">
        <v>29</v>
      </c>
      <c r="N156" t="s">
        <v>30</v>
      </c>
      <c r="O156" t="s">
        <v>42</v>
      </c>
      <c r="P156">
        <v>3</v>
      </c>
      <c r="Q156">
        <v>1</v>
      </c>
      <c r="R156" t="s">
        <v>89</v>
      </c>
      <c r="S156" s="2">
        <v>0.89583333333333337</v>
      </c>
      <c r="T156" t="s">
        <v>43</v>
      </c>
      <c r="U156">
        <v>11895</v>
      </c>
      <c r="V156" t="s">
        <v>103</v>
      </c>
    </row>
    <row r="157" spans="1:22" x14ac:dyDescent="0.35">
      <c r="A157" s="1">
        <v>45689</v>
      </c>
      <c r="B157">
        <v>123925712</v>
      </c>
      <c r="C157">
        <v>1980</v>
      </c>
      <c r="D157" t="s">
        <v>91</v>
      </c>
      <c r="E157" t="s">
        <v>22</v>
      </c>
      <c r="F157" t="s">
        <v>70</v>
      </c>
      <c r="G157" t="s">
        <v>71</v>
      </c>
      <c r="H157" t="s">
        <v>37</v>
      </c>
      <c r="I157" t="s">
        <v>38</v>
      </c>
      <c r="J157">
        <v>1.2130000000000001</v>
      </c>
      <c r="K157" t="s">
        <v>72</v>
      </c>
      <c r="L157" t="s">
        <v>48</v>
      </c>
      <c r="M157" t="s">
        <v>87</v>
      </c>
      <c r="N157" t="s">
        <v>30</v>
      </c>
      <c r="O157" t="s">
        <v>67</v>
      </c>
      <c r="P157">
        <v>1</v>
      </c>
      <c r="Q157">
        <v>2</v>
      </c>
      <c r="R157" t="s">
        <v>89</v>
      </c>
      <c r="S157" s="2">
        <v>0.6166666666666667</v>
      </c>
      <c r="T157" t="s">
        <v>43</v>
      </c>
      <c r="U157">
        <v>6837</v>
      </c>
      <c r="V157" t="s">
        <v>99</v>
      </c>
    </row>
    <row r="158" spans="1:22" x14ac:dyDescent="0.35">
      <c r="A158" s="1">
        <v>45839</v>
      </c>
      <c r="B158">
        <v>123471775</v>
      </c>
      <c r="C158">
        <v>1958</v>
      </c>
      <c r="D158" t="s">
        <v>69</v>
      </c>
      <c r="E158" t="s">
        <v>44</v>
      </c>
      <c r="F158" t="s">
        <v>57</v>
      </c>
      <c r="G158" t="s">
        <v>58</v>
      </c>
      <c r="H158" t="s">
        <v>25</v>
      </c>
      <c r="I158" t="s">
        <v>38</v>
      </c>
      <c r="J158">
        <v>1.1000000000000001</v>
      </c>
      <c r="K158" t="s">
        <v>59</v>
      </c>
      <c r="L158" t="s">
        <v>40</v>
      </c>
      <c r="M158" t="s">
        <v>41</v>
      </c>
      <c r="N158" t="s">
        <v>30</v>
      </c>
      <c r="O158" t="s">
        <v>42</v>
      </c>
      <c r="P158">
        <v>6</v>
      </c>
      <c r="Q158">
        <v>2</v>
      </c>
      <c r="R158" t="s">
        <v>32</v>
      </c>
      <c r="S158" s="2">
        <v>0.34305555555555556</v>
      </c>
      <c r="T158" t="s">
        <v>33</v>
      </c>
      <c r="U158">
        <v>40832</v>
      </c>
      <c r="V158" t="s">
        <v>105</v>
      </c>
    </row>
    <row r="159" spans="1:22" x14ac:dyDescent="0.35">
      <c r="A159" s="1">
        <v>45839</v>
      </c>
      <c r="B159">
        <v>123589778</v>
      </c>
      <c r="C159">
        <v>1981</v>
      </c>
      <c r="D159" t="s">
        <v>91</v>
      </c>
      <c r="E159" t="s">
        <v>44</v>
      </c>
      <c r="F159" t="s">
        <v>74</v>
      </c>
      <c r="G159" t="s">
        <v>75</v>
      </c>
      <c r="H159" t="s">
        <v>37</v>
      </c>
      <c r="I159" t="s">
        <v>26</v>
      </c>
      <c r="J159">
        <v>1.0269999999999999</v>
      </c>
      <c r="K159" t="s">
        <v>76</v>
      </c>
      <c r="L159" t="s">
        <v>28</v>
      </c>
      <c r="M159" t="s">
        <v>29</v>
      </c>
      <c r="N159" t="s">
        <v>30</v>
      </c>
      <c r="O159" t="s">
        <v>31</v>
      </c>
      <c r="P159">
        <v>0</v>
      </c>
      <c r="Q159">
        <v>1</v>
      </c>
      <c r="R159" t="s">
        <v>89</v>
      </c>
      <c r="S159" s="2">
        <v>0.2951388888888889</v>
      </c>
      <c r="T159" t="s">
        <v>33</v>
      </c>
      <c r="U159">
        <v>371</v>
      </c>
      <c r="V159" t="s">
        <v>105</v>
      </c>
    </row>
    <row r="160" spans="1:22" x14ac:dyDescent="0.35">
      <c r="A160" s="1">
        <v>45778</v>
      </c>
      <c r="B160">
        <v>123587010</v>
      </c>
      <c r="C160">
        <v>2002</v>
      </c>
      <c r="D160" t="s">
        <v>60</v>
      </c>
      <c r="E160" t="s">
        <v>22</v>
      </c>
      <c r="F160" t="s">
        <v>61</v>
      </c>
      <c r="G160" t="s">
        <v>62</v>
      </c>
      <c r="H160" t="s">
        <v>25</v>
      </c>
      <c r="I160" t="s">
        <v>38</v>
      </c>
      <c r="J160">
        <v>0.95399999999999996</v>
      </c>
      <c r="K160" t="s">
        <v>63</v>
      </c>
      <c r="L160" t="s">
        <v>65</v>
      </c>
      <c r="M160" t="s">
        <v>66</v>
      </c>
      <c r="N160" t="s">
        <v>30</v>
      </c>
      <c r="O160" t="s">
        <v>42</v>
      </c>
      <c r="P160">
        <v>2</v>
      </c>
      <c r="Q160">
        <v>1</v>
      </c>
      <c r="R160" t="s">
        <v>32</v>
      </c>
      <c r="S160" s="2">
        <v>0.41111111111111109</v>
      </c>
      <c r="T160" t="s">
        <v>33</v>
      </c>
      <c r="U160">
        <v>102497</v>
      </c>
      <c r="V160" t="s">
        <v>95</v>
      </c>
    </row>
    <row r="161" spans="1:22" x14ac:dyDescent="0.35">
      <c r="A161" s="1">
        <v>45931</v>
      </c>
      <c r="B161">
        <v>123533803</v>
      </c>
      <c r="C161">
        <v>2001</v>
      </c>
      <c r="D161" t="s">
        <v>34</v>
      </c>
      <c r="E161" t="s">
        <v>44</v>
      </c>
      <c r="F161" t="s">
        <v>70</v>
      </c>
      <c r="G161" t="s">
        <v>71</v>
      </c>
      <c r="H161" t="s">
        <v>37</v>
      </c>
      <c r="I161" t="s">
        <v>38</v>
      </c>
      <c r="J161">
        <v>1.099</v>
      </c>
      <c r="K161" t="s">
        <v>72</v>
      </c>
      <c r="L161" t="s">
        <v>28</v>
      </c>
      <c r="M161" t="s">
        <v>29</v>
      </c>
      <c r="N161" t="s">
        <v>30</v>
      </c>
      <c r="O161" t="s">
        <v>31</v>
      </c>
      <c r="P161">
        <v>0</v>
      </c>
      <c r="Q161">
        <v>2</v>
      </c>
      <c r="R161" t="s">
        <v>32</v>
      </c>
      <c r="S161" s="2">
        <v>0.85555555555555551</v>
      </c>
      <c r="T161" t="s">
        <v>43</v>
      </c>
      <c r="U161">
        <v>1072</v>
      </c>
      <c r="V161" t="s">
        <v>104</v>
      </c>
    </row>
    <row r="162" spans="1:22" x14ac:dyDescent="0.35">
      <c r="A162" s="1">
        <v>45992</v>
      </c>
      <c r="B162">
        <v>123895741</v>
      </c>
      <c r="C162">
        <v>1991</v>
      </c>
      <c r="D162" t="s">
        <v>21</v>
      </c>
      <c r="E162" t="s">
        <v>44</v>
      </c>
      <c r="F162" t="s">
        <v>57</v>
      </c>
      <c r="G162" t="s">
        <v>58</v>
      </c>
      <c r="H162" t="s">
        <v>25</v>
      </c>
      <c r="I162" t="s">
        <v>38</v>
      </c>
      <c r="J162">
        <v>1.167</v>
      </c>
      <c r="K162" t="s">
        <v>59</v>
      </c>
      <c r="L162" t="s">
        <v>48</v>
      </c>
      <c r="M162" t="s">
        <v>49</v>
      </c>
      <c r="N162" t="s">
        <v>30</v>
      </c>
      <c r="O162" t="s">
        <v>42</v>
      </c>
      <c r="P162">
        <v>5</v>
      </c>
      <c r="Q162">
        <v>1</v>
      </c>
      <c r="R162" t="s">
        <v>89</v>
      </c>
      <c r="S162" s="2">
        <v>0.34930555555555554</v>
      </c>
      <c r="T162" t="s">
        <v>33</v>
      </c>
      <c r="U162">
        <v>11167</v>
      </c>
      <c r="V162" t="s">
        <v>103</v>
      </c>
    </row>
    <row r="163" spans="1:22" x14ac:dyDescent="0.35">
      <c r="A163" s="1">
        <v>45717</v>
      </c>
      <c r="B163">
        <v>123463927</v>
      </c>
      <c r="C163">
        <v>1981</v>
      </c>
      <c r="D163" t="s">
        <v>91</v>
      </c>
      <c r="E163" t="s">
        <v>22</v>
      </c>
      <c r="F163" t="s">
        <v>61</v>
      </c>
      <c r="G163" t="s">
        <v>62</v>
      </c>
      <c r="H163" t="s">
        <v>25</v>
      </c>
      <c r="I163" t="s">
        <v>38</v>
      </c>
      <c r="J163">
        <v>1.0840000000000001</v>
      </c>
      <c r="K163" t="s">
        <v>63</v>
      </c>
      <c r="L163" t="s">
        <v>65</v>
      </c>
      <c r="M163" t="s">
        <v>66</v>
      </c>
      <c r="N163" t="s">
        <v>30</v>
      </c>
      <c r="O163" t="s">
        <v>42</v>
      </c>
      <c r="P163">
        <v>5</v>
      </c>
      <c r="Q163">
        <v>3</v>
      </c>
      <c r="R163" t="s">
        <v>32</v>
      </c>
      <c r="S163" s="2">
        <v>0.48749999999999999</v>
      </c>
      <c r="T163" t="s">
        <v>33</v>
      </c>
      <c r="U163">
        <v>85494</v>
      </c>
      <c r="V163" t="s">
        <v>102</v>
      </c>
    </row>
    <row r="164" spans="1:22" x14ac:dyDescent="0.35">
      <c r="A164" s="1">
        <v>45748</v>
      </c>
      <c r="B164">
        <v>123813009</v>
      </c>
      <c r="C164">
        <v>1990</v>
      </c>
      <c r="D164" t="s">
        <v>34</v>
      </c>
      <c r="E164" t="s">
        <v>44</v>
      </c>
      <c r="F164" t="s">
        <v>61</v>
      </c>
      <c r="G164" t="s">
        <v>62</v>
      </c>
      <c r="H164" t="s">
        <v>25</v>
      </c>
      <c r="I164" t="s">
        <v>26</v>
      </c>
      <c r="J164">
        <v>0.96</v>
      </c>
      <c r="K164" t="s">
        <v>63</v>
      </c>
      <c r="L164" t="s">
        <v>48</v>
      </c>
      <c r="M164" t="s">
        <v>49</v>
      </c>
      <c r="N164" t="s">
        <v>30</v>
      </c>
      <c r="O164" t="s">
        <v>42</v>
      </c>
      <c r="P164">
        <v>4</v>
      </c>
      <c r="Q164">
        <v>1</v>
      </c>
      <c r="R164" t="s">
        <v>32</v>
      </c>
      <c r="S164" s="2">
        <v>0.36249999999999999</v>
      </c>
      <c r="T164" t="s">
        <v>33</v>
      </c>
      <c r="U164">
        <v>41440</v>
      </c>
      <c r="V164" t="s">
        <v>108</v>
      </c>
    </row>
    <row r="165" spans="1:22" x14ac:dyDescent="0.35">
      <c r="A165" s="1">
        <v>45870</v>
      </c>
      <c r="B165">
        <v>123950732</v>
      </c>
      <c r="C165">
        <v>1994</v>
      </c>
      <c r="D165" t="s">
        <v>56</v>
      </c>
      <c r="E165" t="s">
        <v>44</v>
      </c>
      <c r="F165" t="s">
        <v>61</v>
      </c>
      <c r="G165" t="s">
        <v>62</v>
      </c>
      <c r="H165" t="s">
        <v>25</v>
      </c>
      <c r="I165" t="s">
        <v>38</v>
      </c>
      <c r="J165">
        <v>1.0940000000000001</v>
      </c>
      <c r="K165" t="s">
        <v>63</v>
      </c>
      <c r="L165" t="s">
        <v>28</v>
      </c>
      <c r="M165" t="s">
        <v>29</v>
      </c>
      <c r="N165" t="s">
        <v>30</v>
      </c>
      <c r="O165" t="s">
        <v>42</v>
      </c>
      <c r="P165">
        <v>3</v>
      </c>
      <c r="Q165">
        <v>1</v>
      </c>
      <c r="R165" t="s">
        <v>89</v>
      </c>
      <c r="S165" s="2">
        <v>0.63402777777777775</v>
      </c>
      <c r="T165" t="s">
        <v>43</v>
      </c>
      <c r="U165">
        <v>117884</v>
      </c>
      <c r="V165" t="s">
        <v>109</v>
      </c>
    </row>
    <row r="166" spans="1:22" x14ac:dyDescent="0.35">
      <c r="A166" s="1">
        <v>45839</v>
      </c>
      <c r="B166">
        <v>123475672</v>
      </c>
      <c r="C166">
        <v>1999</v>
      </c>
      <c r="D166" t="s">
        <v>60</v>
      </c>
      <c r="E166" t="s">
        <v>22</v>
      </c>
      <c r="F166" t="s">
        <v>35</v>
      </c>
      <c r="G166" t="s">
        <v>36</v>
      </c>
      <c r="H166" t="s">
        <v>37</v>
      </c>
      <c r="I166" t="s">
        <v>38</v>
      </c>
      <c r="J166">
        <v>1.202</v>
      </c>
      <c r="K166" t="s">
        <v>39</v>
      </c>
      <c r="L166" t="s">
        <v>65</v>
      </c>
      <c r="M166" t="s">
        <v>66</v>
      </c>
      <c r="N166" t="s">
        <v>30</v>
      </c>
      <c r="O166" t="s">
        <v>42</v>
      </c>
      <c r="P166">
        <v>5</v>
      </c>
      <c r="Q166">
        <v>1</v>
      </c>
      <c r="R166" t="s">
        <v>32</v>
      </c>
      <c r="S166" s="2">
        <v>0.54097222222222219</v>
      </c>
      <c r="T166" t="s">
        <v>43</v>
      </c>
      <c r="U166">
        <v>75631</v>
      </c>
      <c r="V166" t="s">
        <v>105</v>
      </c>
    </row>
    <row r="167" spans="1:22" x14ac:dyDescent="0.35">
      <c r="A167" s="1">
        <v>45992</v>
      </c>
      <c r="B167">
        <v>123541041</v>
      </c>
      <c r="C167">
        <v>1988</v>
      </c>
      <c r="D167" t="s">
        <v>21</v>
      </c>
      <c r="E167" t="s">
        <v>44</v>
      </c>
      <c r="F167" t="s">
        <v>74</v>
      </c>
      <c r="G167" t="s">
        <v>75</v>
      </c>
      <c r="H167" t="s">
        <v>37</v>
      </c>
      <c r="I167" t="s">
        <v>38</v>
      </c>
      <c r="J167">
        <v>1.2789999999999999</v>
      </c>
      <c r="K167" t="s">
        <v>76</v>
      </c>
      <c r="L167" t="s">
        <v>40</v>
      </c>
      <c r="M167" t="s">
        <v>41</v>
      </c>
      <c r="N167" t="s">
        <v>30</v>
      </c>
      <c r="O167" t="s">
        <v>42</v>
      </c>
      <c r="P167">
        <v>5</v>
      </c>
      <c r="Q167">
        <v>1</v>
      </c>
      <c r="R167" t="s">
        <v>89</v>
      </c>
      <c r="S167" s="2">
        <v>0.51388888888888884</v>
      </c>
      <c r="T167" t="s">
        <v>43</v>
      </c>
      <c r="U167">
        <v>39884</v>
      </c>
      <c r="V167" t="s">
        <v>103</v>
      </c>
    </row>
    <row r="168" spans="1:22" x14ac:dyDescent="0.35">
      <c r="A168" s="1">
        <v>45992</v>
      </c>
      <c r="B168">
        <v>123484101</v>
      </c>
      <c r="C168">
        <v>1999</v>
      </c>
      <c r="D168" t="s">
        <v>81</v>
      </c>
      <c r="E168" t="s">
        <v>22</v>
      </c>
      <c r="F168" t="s">
        <v>23</v>
      </c>
      <c r="G168" t="s">
        <v>24</v>
      </c>
      <c r="H168" t="s">
        <v>25</v>
      </c>
      <c r="I168" t="s">
        <v>38</v>
      </c>
      <c r="J168">
        <v>1.105</v>
      </c>
      <c r="K168" t="s">
        <v>27</v>
      </c>
      <c r="L168" t="s">
        <v>48</v>
      </c>
      <c r="M168" t="s">
        <v>49</v>
      </c>
      <c r="N168" t="s">
        <v>30</v>
      </c>
      <c r="O168" t="s">
        <v>42</v>
      </c>
      <c r="P168">
        <v>4</v>
      </c>
      <c r="Q168">
        <v>3</v>
      </c>
      <c r="R168" t="s">
        <v>89</v>
      </c>
      <c r="S168" s="2">
        <v>0.69444444444444442</v>
      </c>
      <c r="T168" t="s">
        <v>43</v>
      </c>
      <c r="U168">
        <v>67644</v>
      </c>
      <c r="V168" t="s">
        <v>103</v>
      </c>
    </row>
    <row r="169" spans="1:22" x14ac:dyDescent="0.35">
      <c r="A169" s="1">
        <v>45689</v>
      </c>
      <c r="B169">
        <v>123820006</v>
      </c>
      <c r="C169">
        <v>1996</v>
      </c>
      <c r="D169" t="s">
        <v>88</v>
      </c>
      <c r="E169" t="s">
        <v>44</v>
      </c>
      <c r="F169" t="s">
        <v>57</v>
      </c>
      <c r="G169" t="s">
        <v>58</v>
      </c>
      <c r="H169" t="s">
        <v>25</v>
      </c>
      <c r="I169" t="s">
        <v>38</v>
      </c>
      <c r="J169">
        <v>1.018</v>
      </c>
      <c r="K169" t="s">
        <v>59</v>
      </c>
      <c r="L169" t="s">
        <v>65</v>
      </c>
      <c r="M169" t="s">
        <v>73</v>
      </c>
      <c r="N169" t="s">
        <v>30</v>
      </c>
      <c r="O169" t="s">
        <v>42</v>
      </c>
      <c r="P169">
        <v>4</v>
      </c>
      <c r="Q169">
        <v>2</v>
      </c>
      <c r="R169" t="s">
        <v>32</v>
      </c>
      <c r="S169" s="2">
        <v>0.44513888888888886</v>
      </c>
      <c r="T169" t="s">
        <v>33</v>
      </c>
      <c r="U169">
        <v>104964</v>
      </c>
      <c r="V169" t="s">
        <v>99</v>
      </c>
    </row>
    <row r="170" spans="1:22" x14ac:dyDescent="0.35">
      <c r="A170" s="1">
        <v>45901</v>
      </c>
      <c r="B170">
        <v>123891723</v>
      </c>
      <c r="C170">
        <v>1985</v>
      </c>
      <c r="D170" t="s">
        <v>50</v>
      </c>
      <c r="E170" t="s">
        <v>44</v>
      </c>
      <c r="F170" t="s">
        <v>61</v>
      </c>
      <c r="G170" t="s">
        <v>62</v>
      </c>
      <c r="H170" t="s">
        <v>25</v>
      </c>
      <c r="I170" t="s">
        <v>38</v>
      </c>
      <c r="J170">
        <v>1.0049999999999999</v>
      </c>
      <c r="K170" t="s">
        <v>63</v>
      </c>
      <c r="L170" t="s">
        <v>28</v>
      </c>
      <c r="M170" t="s">
        <v>55</v>
      </c>
      <c r="N170" t="s">
        <v>30</v>
      </c>
      <c r="O170" t="s">
        <v>31</v>
      </c>
      <c r="P170">
        <v>0</v>
      </c>
      <c r="Q170">
        <v>1</v>
      </c>
      <c r="R170" t="s">
        <v>89</v>
      </c>
      <c r="S170" s="2">
        <v>0.40138888888888891</v>
      </c>
      <c r="T170" t="s">
        <v>33</v>
      </c>
      <c r="U170">
        <v>1869</v>
      </c>
      <c r="V170" t="s">
        <v>101</v>
      </c>
    </row>
    <row r="171" spans="1:22" x14ac:dyDescent="0.35">
      <c r="A171" s="1">
        <v>45962</v>
      </c>
      <c r="B171">
        <v>123982697</v>
      </c>
      <c r="C171">
        <v>1996</v>
      </c>
      <c r="D171" t="s">
        <v>81</v>
      </c>
      <c r="E171" t="s">
        <v>44</v>
      </c>
      <c r="F171" t="s">
        <v>61</v>
      </c>
      <c r="G171" t="s">
        <v>62</v>
      </c>
      <c r="H171" t="s">
        <v>25</v>
      </c>
      <c r="I171" t="s">
        <v>38</v>
      </c>
      <c r="J171">
        <v>1.099</v>
      </c>
      <c r="K171" t="s">
        <v>63</v>
      </c>
      <c r="L171" t="s">
        <v>65</v>
      </c>
      <c r="M171" t="s">
        <v>73</v>
      </c>
      <c r="N171" t="s">
        <v>30</v>
      </c>
      <c r="O171" t="s">
        <v>31</v>
      </c>
      <c r="P171">
        <v>0</v>
      </c>
      <c r="Q171">
        <v>2</v>
      </c>
      <c r="R171" t="s">
        <v>32</v>
      </c>
      <c r="S171" s="2">
        <v>0.60833333333333328</v>
      </c>
      <c r="T171" t="s">
        <v>43</v>
      </c>
      <c r="U171">
        <v>900</v>
      </c>
      <c r="V171" t="s">
        <v>106</v>
      </c>
    </row>
    <row r="172" spans="1:22" x14ac:dyDescent="0.35">
      <c r="A172" s="1">
        <v>45717</v>
      </c>
      <c r="B172">
        <v>123521405</v>
      </c>
      <c r="C172">
        <v>2005</v>
      </c>
      <c r="D172" t="s">
        <v>90</v>
      </c>
      <c r="E172" t="s">
        <v>22</v>
      </c>
      <c r="F172" t="s">
        <v>35</v>
      </c>
      <c r="G172" t="s">
        <v>36</v>
      </c>
      <c r="H172" t="s">
        <v>37</v>
      </c>
      <c r="I172" t="s">
        <v>38</v>
      </c>
      <c r="J172">
        <v>0.94299999999999995</v>
      </c>
      <c r="K172" t="s">
        <v>39</v>
      </c>
      <c r="L172" t="s">
        <v>28</v>
      </c>
      <c r="M172" t="s">
        <v>55</v>
      </c>
      <c r="N172" t="s">
        <v>30</v>
      </c>
      <c r="O172" t="s">
        <v>42</v>
      </c>
      <c r="P172">
        <v>6</v>
      </c>
      <c r="Q172">
        <v>1</v>
      </c>
      <c r="R172" t="s">
        <v>32</v>
      </c>
      <c r="S172" s="2">
        <v>0.81736111111111109</v>
      </c>
      <c r="T172" t="s">
        <v>43</v>
      </c>
      <c r="U172">
        <v>98139</v>
      </c>
      <c r="V172" t="s">
        <v>102</v>
      </c>
    </row>
    <row r="173" spans="1:22" x14ac:dyDescent="0.35">
      <c r="A173" s="1">
        <v>45689</v>
      </c>
      <c r="B173">
        <v>123916292</v>
      </c>
      <c r="C173">
        <v>1957</v>
      </c>
      <c r="D173" t="s">
        <v>56</v>
      </c>
      <c r="E173" t="s">
        <v>22</v>
      </c>
      <c r="F173" t="s">
        <v>61</v>
      </c>
      <c r="G173" t="s">
        <v>62</v>
      </c>
      <c r="H173" t="s">
        <v>25</v>
      </c>
      <c r="I173" t="s">
        <v>38</v>
      </c>
      <c r="J173">
        <v>1.1080000000000001</v>
      </c>
      <c r="K173" t="s">
        <v>63</v>
      </c>
      <c r="L173" t="s">
        <v>40</v>
      </c>
      <c r="M173" t="s">
        <v>86</v>
      </c>
      <c r="N173" t="s">
        <v>30</v>
      </c>
      <c r="O173" t="s">
        <v>67</v>
      </c>
      <c r="P173">
        <v>1</v>
      </c>
      <c r="Q173">
        <v>2</v>
      </c>
      <c r="R173" t="s">
        <v>89</v>
      </c>
      <c r="S173" s="2">
        <v>0.36527777777777776</v>
      </c>
      <c r="T173" t="s">
        <v>33</v>
      </c>
      <c r="U173">
        <v>11108</v>
      </c>
      <c r="V173" t="s">
        <v>99</v>
      </c>
    </row>
    <row r="174" spans="1:22" x14ac:dyDescent="0.35">
      <c r="A174" s="1">
        <v>45931</v>
      </c>
      <c r="B174">
        <v>123477842</v>
      </c>
      <c r="C174">
        <v>1960</v>
      </c>
      <c r="D174" t="s">
        <v>69</v>
      </c>
      <c r="E174" t="s">
        <v>22</v>
      </c>
      <c r="F174" t="s">
        <v>23</v>
      </c>
      <c r="G174" t="s">
        <v>24</v>
      </c>
      <c r="H174" t="s">
        <v>25</v>
      </c>
      <c r="I174" t="s">
        <v>38</v>
      </c>
      <c r="J174">
        <v>0.86699999999999999</v>
      </c>
      <c r="K174" t="s">
        <v>27</v>
      </c>
      <c r="L174" t="s">
        <v>28</v>
      </c>
      <c r="M174" t="s">
        <v>64</v>
      </c>
      <c r="N174" t="s">
        <v>30</v>
      </c>
      <c r="O174" t="s">
        <v>31</v>
      </c>
      <c r="P174">
        <v>0</v>
      </c>
      <c r="Q174">
        <v>1</v>
      </c>
      <c r="R174" t="s">
        <v>32</v>
      </c>
      <c r="S174" s="2">
        <v>0.6479166666666667</v>
      </c>
      <c r="T174" t="s">
        <v>43</v>
      </c>
      <c r="U174">
        <v>1783</v>
      </c>
      <c r="V174" t="s">
        <v>104</v>
      </c>
    </row>
    <row r="175" spans="1:22" x14ac:dyDescent="0.35">
      <c r="A175" s="1">
        <v>45962</v>
      </c>
      <c r="B175">
        <v>123835370</v>
      </c>
      <c r="C175">
        <v>1998</v>
      </c>
      <c r="D175" t="s">
        <v>60</v>
      </c>
      <c r="E175" t="s">
        <v>22</v>
      </c>
      <c r="F175" t="s">
        <v>23</v>
      </c>
      <c r="G175" t="s">
        <v>24</v>
      </c>
      <c r="H175" t="s">
        <v>25</v>
      </c>
      <c r="I175" t="s">
        <v>38</v>
      </c>
      <c r="J175">
        <v>0.94699999999999995</v>
      </c>
      <c r="K175" t="s">
        <v>27</v>
      </c>
      <c r="L175" t="s">
        <v>28</v>
      </c>
      <c r="M175" t="s">
        <v>64</v>
      </c>
      <c r="N175" t="s">
        <v>30</v>
      </c>
      <c r="O175" t="s">
        <v>67</v>
      </c>
      <c r="P175">
        <v>1</v>
      </c>
      <c r="Q175">
        <v>1</v>
      </c>
      <c r="R175" t="s">
        <v>89</v>
      </c>
      <c r="S175" s="2">
        <v>0.44861111111111113</v>
      </c>
      <c r="T175" t="s">
        <v>33</v>
      </c>
      <c r="U175">
        <v>3487</v>
      </c>
      <c r="V175" t="s">
        <v>106</v>
      </c>
    </row>
    <row r="176" spans="1:22" x14ac:dyDescent="0.35">
      <c r="A176" s="1">
        <v>45901</v>
      </c>
      <c r="B176">
        <v>123749671</v>
      </c>
      <c r="C176">
        <v>2002</v>
      </c>
      <c r="D176" t="s">
        <v>21</v>
      </c>
      <c r="E176" t="s">
        <v>44</v>
      </c>
      <c r="F176" t="s">
        <v>35</v>
      </c>
      <c r="G176" t="s">
        <v>36</v>
      </c>
      <c r="H176" t="s">
        <v>37</v>
      </c>
      <c r="I176" t="s">
        <v>38</v>
      </c>
      <c r="J176">
        <v>1.1319999999999999</v>
      </c>
      <c r="K176" t="s">
        <v>39</v>
      </c>
      <c r="L176" t="s">
        <v>28</v>
      </c>
      <c r="M176" t="s">
        <v>29</v>
      </c>
      <c r="N176" t="s">
        <v>30</v>
      </c>
      <c r="O176" t="s">
        <v>31</v>
      </c>
      <c r="P176">
        <v>0</v>
      </c>
      <c r="Q176">
        <v>2</v>
      </c>
      <c r="R176" t="s">
        <v>89</v>
      </c>
      <c r="S176" s="2">
        <v>0.74027777777777781</v>
      </c>
      <c r="T176" t="s">
        <v>43</v>
      </c>
      <c r="U176">
        <v>2014</v>
      </c>
      <c r="V176" t="s">
        <v>101</v>
      </c>
    </row>
    <row r="177" spans="1:22" x14ac:dyDescent="0.35">
      <c r="A177" s="1">
        <v>45901</v>
      </c>
      <c r="B177">
        <v>123861381</v>
      </c>
      <c r="C177">
        <v>1983</v>
      </c>
      <c r="D177" t="s">
        <v>92</v>
      </c>
      <c r="E177" t="s">
        <v>44</v>
      </c>
      <c r="F177" t="s">
        <v>61</v>
      </c>
      <c r="G177" t="s">
        <v>62</v>
      </c>
      <c r="H177" t="s">
        <v>25</v>
      </c>
      <c r="I177" t="s">
        <v>26</v>
      </c>
      <c r="J177">
        <v>1.044</v>
      </c>
      <c r="K177" t="s">
        <v>63</v>
      </c>
      <c r="L177" t="s">
        <v>28</v>
      </c>
      <c r="M177" t="s">
        <v>29</v>
      </c>
      <c r="N177" t="s">
        <v>30</v>
      </c>
      <c r="O177" t="s">
        <v>67</v>
      </c>
      <c r="P177">
        <v>1</v>
      </c>
      <c r="Q177">
        <v>2</v>
      </c>
      <c r="R177" t="s">
        <v>32</v>
      </c>
      <c r="S177" s="2">
        <v>0.76527777777777772</v>
      </c>
      <c r="T177" t="s">
        <v>43</v>
      </c>
      <c r="U177">
        <v>5046</v>
      </c>
      <c r="V177" t="s">
        <v>101</v>
      </c>
    </row>
    <row r="178" spans="1:22" x14ac:dyDescent="0.35">
      <c r="A178" s="1">
        <v>45778</v>
      </c>
      <c r="B178">
        <v>123754257</v>
      </c>
      <c r="C178">
        <v>2005</v>
      </c>
      <c r="D178" t="s">
        <v>34</v>
      </c>
      <c r="E178" t="s">
        <v>44</v>
      </c>
      <c r="F178" t="s">
        <v>51</v>
      </c>
      <c r="G178" t="s">
        <v>52</v>
      </c>
      <c r="H178" t="s">
        <v>53</v>
      </c>
      <c r="I178" t="s">
        <v>38</v>
      </c>
      <c r="J178">
        <v>1.1879999999999999</v>
      </c>
      <c r="K178" t="s">
        <v>54</v>
      </c>
      <c r="L178" t="s">
        <v>48</v>
      </c>
      <c r="M178" t="s">
        <v>87</v>
      </c>
      <c r="N178" t="s">
        <v>30</v>
      </c>
      <c r="O178" t="s">
        <v>31</v>
      </c>
      <c r="P178">
        <v>0</v>
      </c>
      <c r="Q178">
        <v>2</v>
      </c>
      <c r="R178" t="s">
        <v>89</v>
      </c>
      <c r="S178" s="2">
        <v>0.84375</v>
      </c>
      <c r="T178" t="s">
        <v>43</v>
      </c>
      <c r="U178">
        <v>819</v>
      </c>
      <c r="V178" t="s">
        <v>95</v>
      </c>
    </row>
    <row r="179" spans="1:22" x14ac:dyDescent="0.35">
      <c r="A179" s="1">
        <v>45658</v>
      </c>
      <c r="B179">
        <v>123502797</v>
      </c>
      <c r="C179">
        <v>1984</v>
      </c>
      <c r="D179" t="s">
        <v>21</v>
      </c>
      <c r="E179" t="s">
        <v>44</v>
      </c>
      <c r="F179" t="s">
        <v>74</v>
      </c>
      <c r="G179" t="s">
        <v>75</v>
      </c>
      <c r="H179" t="s">
        <v>37</v>
      </c>
      <c r="I179" t="s">
        <v>38</v>
      </c>
      <c r="J179">
        <v>1.2090000000000001</v>
      </c>
      <c r="K179" t="s">
        <v>76</v>
      </c>
      <c r="L179" t="s">
        <v>28</v>
      </c>
      <c r="M179" t="s">
        <v>29</v>
      </c>
      <c r="N179" t="s">
        <v>30</v>
      </c>
      <c r="O179" t="s">
        <v>42</v>
      </c>
      <c r="P179">
        <v>4</v>
      </c>
      <c r="Q179">
        <v>3</v>
      </c>
      <c r="R179" t="s">
        <v>32</v>
      </c>
      <c r="S179" s="2">
        <v>0.4909722222222222</v>
      </c>
      <c r="T179" t="s">
        <v>33</v>
      </c>
      <c r="U179">
        <v>27959</v>
      </c>
      <c r="V179" t="s">
        <v>107</v>
      </c>
    </row>
    <row r="180" spans="1:22" x14ac:dyDescent="0.35">
      <c r="A180" s="1">
        <v>45658</v>
      </c>
      <c r="B180">
        <v>123898449</v>
      </c>
      <c r="C180">
        <v>1963</v>
      </c>
      <c r="D180" t="s">
        <v>34</v>
      </c>
      <c r="E180" t="s">
        <v>44</v>
      </c>
      <c r="F180" t="s">
        <v>78</v>
      </c>
      <c r="G180" t="s">
        <v>79</v>
      </c>
      <c r="H180" t="s">
        <v>37</v>
      </c>
      <c r="I180" t="s">
        <v>38</v>
      </c>
      <c r="J180">
        <v>1</v>
      </c>
      <c r="K180" t="s">
        <v>80</v>
      </c>
      <c r="L180" t="s">
        <v>28</v>
      </c>
      <c r="M180" t="s">
        <v>64</v>
      </c>
      <c r="N180" t="s">
        <v>30</v>
      </c>
      <c r="O180" t="s">
        <v>67</v>
      </c>
      <c r="P180">
        <v>1</v>
      </c>
      <c r="Q180">
        <v>2</v>
      </c>
      <c r="R180" t="s">
        <v>32</v>
      </c>
      <c r="S180" s="2">
        <v>0.88402777777777775</v>
      </c>
      <c r="T180" t="s">
        <v>43</v>
      </c>
      <c r="U180">
        <v>3318</v>
      </c>
      <c r="V180" t="s">
        <v>107</v>
      </c>
    </row>
    <row r="181" spans="1:22" x14ac:dyDescent="0.35">
      <c r="A181" s="1">
        <v>45931</v>
      </c>
      <c r="B181">
        <v>123561014</v>
      </c>
      <c r="C181">
        <v>1956</v>
      </c>
      <c r="D181" t="s">
        <v>34</v>
      </c>
      <c r="E181" t="s">
        <v>44</v>
      </c>
      <c r="F181" t="s">
        <v>83</v>
      </c>
      <c r="G181" t="s">
        <v>84</v>
      </c>
      <c r="H181" t="s">
        <v>53</v>
      </c>
      <c r="I181" t="s">
        <v>26</v>
      </c>
      <c r="J181">
        <v>0.96099999999999997</v>
      </c>
      <c r="K181" t="s">
        <v>85</v>
      </c>
      <c r="L181" t="s">
        <v>48</v>
      </c>
      <c r="M181" t="s">
        <v>49</v>
      </c>
      <c r="N181" t="s">
        <v>30</v>
      </c>
      <c r="O181" t="s">
        <v>42</v>
      </c>
      <c r="P181">
        <v>5</v>
      </c>
      <c r="Q181">
        <v>2</v>
      </c>
      <c r="R181" t="s">
        <v>89</v>
      </c>
      <c r="S181" s="2">
        <v>0.44583333333333336</v>
      </c>
      <c r="T181" t="s">
        <v>33</v>
      </c>
      <c r="U181">
        <v>63741</v>
      </c>
      <c r="V181" t="s">
        <v>104</v>
      </c>
    </row>
    <row r="182" spans="1:22" x14ac:dyDescent="0.35">
      <c r="A182" s="1">
        <v>45962</v>
      </c>
      <c r="B182">
        <v>123464567</v>
      </c>
      <c r="C182">
        <v>1958</v>
      </c>
      <c r="D182" t="s">
        <v>56</v>
      </c>
      <c r="E182" t="s">
        <v>22</v>
      </c>
      <c r="F182" t="s">
        <v>23</v>
      </c>
      <c r="G182" t="s">
        <v>24</v>
      </c>
      <c r="H182" t="s">
        <v>25</v>
      </c>
      <c r="I182" t="s">
        <v>38</v>
      </c>
      <c r="J182">
        <v>0.96299999999999997</v>
      </c>
      <c r="K182" t="s">
        <v>27</v>
      </c>
      <c r="L182" t="s">
        <v>28</v>
      </c>
      <c r="M182" t="s">
        <v>55</v>
      </c>
      <c r="N182" t="s">
        <v>30</v>
      </c>
      <c r="O182" t="s">
        <v>67</v>
      </c>
      <c r="P182">
        <v>1</v>
      </c>
      <c r="Q182">
        <v>1</v>
      </c>
      <c r="R182" t="s">
        <v>32</v>
      </c>
      <c r="S182" s="2">
        <v>0.62361111111111112</v>
      </c>
      <c r="T182" t="s">
        <v>43</v>
      </c>
      <c r="U182">
        <v>8257</v>
      </c>
      <c r="V182" t="s">
        <v>106</v>
      </c>
    </row>
    <row r="183" spans="1:22" x14ac:dyDescent="0.35">
      <c r="A183" s="1">
        <v>45717</v>
      </c>
      <c r="B183">
        <v>123842187</v>
      </c>
      <c r="C183">
        <v>1984</v>
      </c>
      <c r="D183" t="s">
        <v>56</v>
      </c>
      <c r="E183" t="s">
        <v>22</v>
      </c>
      <c r="F183" t="s">
        <v>83</v>
      </c>
      <c r="G183" t="s">
        <v>84</v>
      </c>
      <c r="H183" t="s">
        <v>53</v>
      </c>
      <c r="I183" t="s">
        <v>38</v>
      </c>
      <c r="J183">
        <v>1.0880000000000001</v>
      </c>
      <c r="K183" t="s">
        <v>85</v>
      </c>
      <c r="L183" t="s">
        <v>48</v>
      </c>
      <c r="M183" t="s">
        <v>49</v>
      </c>
      <c r="N183" t="s">
        <v>30</v>
      </c>
      <c r="O183" t="s">
        <v>42</v>
      </c>
      <c r="P183">
        <v>6</v>
      </c>
      <c r="Q183">
        <v>1</v>
      </c>
      <c r="R183" t="s">
        <v>32</v>
      </c>
      <c r="S183" s="2">
        <v>0.79791666666666672</v>
      </c>
      <c r="T183" t="s">
        <v>43</v>
      </c>
      <c r="U183">
        <v>66597</v>
      </c>
      <c r="V183" t="s">
        <v>102</v>
      </c>
    </row>
    <row r="184" spans="1:22" x14ac:dyDescent="0.35">
      <c r="A184" s="1">
        <v>45778</v>
      </c>
      <c r="B184">
        <v>123740268</v>
      </c>
      <c r="C184">
        <v>1964</v>
      </c>
      <c r="D184" t="s">
        <v>60</v>
      </c>
      <c r="E184" t="s">
        <v>44</v>
      </c>
      <c r="F184" t="s">
        <v>78</v>
      </c>
      <c r="G184" t="s">
        <v>79</v>
      </c>
      <c r="H184" t="s">
        <v>37</v>
      </c>
      <c r="I184" t="s">
        <v>26</v>
      </c>
      <c r="J184">
        <v>1.129</v>
      </c>
      <c r="K184" t="s">
        <v>80</v>
      </c>
      <c r="L184" t="s">
        <v>28</v>
      </c>
      <c r="M184" t="s">
        <v>55</v>
      </c>
      <c r="N184" t="s">
        <v>30</v>
      </c>
      <c r="O184" t="s">
        <v>31</v>
      </c>
      <c r="P184">
        <v>0</v>
      </c>
      <c r="Q184">
        <v>2</v>
      </c>
      <c r="R184" t="s">
        <v>32</v>
      </c>
      <c r="S184" s="2">
        <v>0.40277777777777779</v>
      </c>
      <c r="T184" t="s">
        <v>33</v>
      </c>
      <c r="U184">
        <v>140</v>
      </c>
      <c r="V184" t="s">
        <v>95</v>
      </c>
    </row>
    <row r="185" spans="1:22" x14ac:dyDescent="0.35">
      <c r="A185" s="1">
        <v>45870</v>
      </c>
      <c r="B185">
        <v>123989230</v>
      </c>
      <c r="C185">
        <v>1977</v>
      </c>
      <c r="D185" t="s">
        <v>34</v>
      </c>
      <c r="E185" t="s">
        <v>44</v>
      </c>
      <c r="F185" t="s">
        <v>78</v>
      </c>
      <c r="G185" t="s">
        <v>79</v>
      </c>
      <c r="H185" t="s">
        <v>37</v>
      </c>
      <c r="I185" t="s">
        <v>38</v>
      </c>
      <c r="J185">
        <v>0.94599999999999995</v>
      </c>
      <c r="K185" t="s">
        <v>80</v>
      </c>
      <c r="L185" t="s">
        <v>28</v>
      </c>
      <c r="M185" t="s">
        <v>55</v>
      </c>
      <c r="N185" t="s">
        <v>30</v>
      </c>
      <c r="O185" t="s">
        <v>31</v>
      </c>
      <c r="P185">
        <v>0</v>
      </c>
      <c r="Q185">
        <v>2</v>
      </c>
      <c r="R185" t="s">
        <v>32</v>
      </c>
      <c r="S185" s="2">
        <v>0.34861111111111109</v>
      </c>
      <c r="T185" t="s">
        <v>33</v>
      </c>
      <c r="U185">
        <v>261</v>
      </c>
      <c r="V185" t="s">
        <v>109</v>
      </c>
    </row>
    <row r="186" spans="1:22" x14ac:dyDescent="0.35">
      <c r="A186" s="1">
        <v>45901</v>
      </c>
      <c r="B186">
        <v>123863685</v>
      </c>
      <c r="C186">
        <v>1992</v>
      </c>
      <c r="D186" t="s">
        <v>92</v>
      </c>
      <c r="E186" t="s">
        <v>44</v>
      </c>
      <c r="F186" t="s">
        <v>83</v>
      </c>
      <c r="G186" t="s">
        <v>84</v>
      </c>
      <c r="H186" t="s">
        <v>53</v>
      </c>
      <c r="I186" t="s">
        <v>38</v>
      </c>
      <c r="J186">
        <v>1.123</v>
      </c>
      <c r="K186" t="s">
        <v>85</v>
      </c>
      <c r="L186" t="s">
        <v>28</v>
      </c>
      <c r="M186" t="s">
        <v>55</v>
      </c>
      <c r="N186" t="s">
        <v>30</v>
      </c>
      <c r="O186" t="s">
        <v>67</v>
      </c>
      <c r="P186">
        <v>1</v>
      </c>
      <c r="Q186">
        <v>1</v>
      </c>
      <c r="R186" t="s">
        <v>89</v>
      </c>
      <c r="S186" s="2">
        <v>0.79652777777777772</v>
      </c>
      <c r="T186" t="s">
        <v>43</v>
      </c>
      <c r="U186">
        <v>6052</v>
      </c>
      <c r="V186" t="s">
        <v>101</v>
      </c>
    </row>
    <row r="187" spans="1:22" x14ac:dyDescent="0.35">
      <c r="A187" s="1">
        <v>45931</v>
      </c>
      <c r="B187">
        <v>123479038</v>
      </c>
      <c r="C187">
        <v>1975</v>
      </c>
      <c r="D187" t="s">
        <v>81</v>
      </c>
      <c r="E187" t="s">
        <v>44</v>
      </c>
      <c r="F187" t="s">
        <v>45</v>
      </c>
      <c r="G187" t="s">
        <v>46</v>
      </c>
      <c r="H187" t="s">
        <v>37</v>
      </c>
      <c r="I187" t="s">
        <v>26</v>
      </c>
      <c r="J187">
        <v>1.1040000000000001</v>
      </c>
      <c r="K187" t="s">
        <v>47</v>
      </c>
      <c r="L187" t="s">
        <v>28</v>
      </c>
      <c r="M187" t="s">
        <v>64</v>
      </c>
      <c r="N187" t="s">
        <v>30</v>
      </c>
      <c r="O187" t="s">
        <v>42</v>
      </c>
      <c r="P187">
        <v>7</v>
      </c>
      <c r="Q187">
        <v>1</v>
      </c>
      <c r="R187" t="s">
        <v>32</v>
      </c>
      <c r="S187" s="2">
        <v>0.8305555555555556</v>
      </c>
      <c r="T187" t="s">
        <v>43</v>
      </c>
      <c r="U187">
        <v>19233</v>
      </c>
      <c r="V187" t="s">
        <v>104</v>
      </c>
    </row>
    <row r="188" spans="1:22" x14ac:dyDescent="0.35">
      <c r="A188" s="1">
        <v>45748</v>
      </c>
      <c r="B188">
        <v>123575209</v>
      </c>
      <c r="C188">
        <v>1976</v>
      </c>
      <c r="D188" t="s">
        <v>56</v>
      </c>
      <c r="E188" t="s">
        <v>22</v>
      </c>
      <c r="F188" t="s">
        <v>74</v>
      </c>
      <c r="G188" t="s">
        <v>75</v>
      </c>
      <c r="H188" t="s">
        <v>37</v>
      </c>
      <c r="I188" t="s">
        <v>38</v>
      </c>
      <c r="J188">
        <v>0.93</v>
      </c>
      <c r="K188" t="s">
        <v>76</v>
      </c>
      <c r="L188" t="s">
        <v>28</v>
      </c>
      <c r="M188" t="s">
        <v>64</v>
      </c>
      <c r="N188" t="s">
        <v>30</v>
      </c>
      <c r="O188" t="s">
        <v>42</v>
      </c>
      <c r="P188">
        <v>3</v>
      </c>
      <c r="Q188">
        <v>2</v>
      </c>
      <c r="R188" t="s">
        <v>32</v>
      </c>
      <c r="S188" s="2">
        <v>0.38055555555555554</v>
      </c>
      <c r="T188" t="s">
        <v>33</v>
      </c>
      <c r="U188">
        <v>97916</v>
      </c>
      <c r="V188" t="s">
        <v>108</v>
      </c>
    </row>
    <row r="189" spans="1:22" x14ac:dyDescent="0.35">
      <c r="A189" s="1">
        <v>45839</v>
      </c>
      <c r="B189">
        <v>123842009</v>
      </c>
      <c r="C189">
        <v>2001</v>
      </c>
      <c r="D189" t="s">
        <v>60</v>
      </c>
      <c r="E189" t="s">
        <v>44</v>
      </c>
      <c r="F189" t="s">
        <v>57</v>
      </c>
      <c r="G189" t="s">
        <v>58</v>
      </c>
      <c r="H189" t="s">
        <v>25</v>
      </c>
      <c r="I189" t="s">
        <v>26</v>
      </c>
      <c r="J189">
        <v>1.0820000000000001</v>
      </c>
      <c r="K189" t="s">
        <v>59</v>
      </c>
      <c r="L189" t="s">
        <v>40</v>
      </c>
      <c r="M189" t="s">
        <v>41</v>
      </c>
      <c r="N189" t="s">
        <v>30</v>
      </c>
      <c r="O189" t="s">
        <v>42</v>
      </c>
      <c r="P189">
        <v>4</v>
      </c>
      <c r="Q189">
        <v>1</v>
      </c>
      <c r="R189" t="s">
        <v>32</v>
      </c>
      <c r="S189" s="2">
        <v>0.75416666666666665</v>
      </c>
      <c r="T189" t="s">
        <v>43</v>
      </c>
      <c r="U189">
        <v>7155</v>
      </c>
      <c r="V189" t="s">
        <v>105</v>
      </c>
    </row>
    <row r="190" spans="1:22" x14ac:dyDescent="0.35">
      <c r="A190" s="1">
        <v>45689</v>
      </c>
      <c r="B190">
        <v>123550181</v>
      </c>
      <c r="C190">
        <v>1978</v>
      </c>
      <c r="D190" t="s">
        <v>60</v>
      </c>
      <c r="E190" t="s">
        <v>44</v>
      </c>
      <c r="F190" t="s">
        <v>23</v>
      </c>
      <c r="G190" t="s">
        <v>24</v>
      </c>
      <c r="H190" t="s">
        <v>25</v>
      </c>
      <c r="I190" t="s">
        <v>38</v>
      </c>
      <c r="J190">
        <v>0.94199999999999995</v>
      </c>
      <c r="K190" t="s">
        <v>27</v>
      </c>
      <c r="L190" t="s">
        <v>65</v>
      </c>
      <c r="M190" t="s">
        <v>66</v>
      </c>
      <c r="N190" t="s">
        <v>30</v>
      </c>
      <c r="O190" t="s">
        <v>42</v>
      </c>
      <c r="P190">
        <v>5</v>
      </c>
      <c r="Q190">
        <v>1</v>
      </c>
      <c r="R190" t="s">
        <v>32</v>
      </c>
      <c r="S190" s="2">
        <v>0.77361111111111114</v>
      </c>
      <c r="T190" t="s">
        <v>43</v>
      </c>
      <c r="U190">
        <v>23319</v>
      </c>
      <c r="V190" t="s">
        <v>99</v>
      </c>
    </row>
    <row r="191" spans="1:22" x14ac:dyDescent="0.35">
      <c r="A191" s="1">
        <v>45658</v>
      </c>
      <c r="B191">
        <v>123505896</v>
      </c>
      <c r="C191">
        <v>1963</v>
      </c>
      <c r="D191" t="s">
        <v>88</v>
      </c>
      <c r="E191" t="s">
        <v>22</v>
      </c>
      <c r="F191" t="s">
        <v>78</v>
      </c>
      <c r="G191" t="s">
        <v>79</v>
      </c>
      <c r="H191" t="s">
        <v>37</v>
      </c>
      <c r="I191" t="s">
        <v>38</v>
      </c>
      <c r="J191">
        <v>1.181</v>
      </c>
      <c r="K191" t="s">
        <v>80</v>
      </c>
      <c r="L191" t="s">
        <v>28</v>
      </c>
      <c r="M191" t="s">
        <v>29</v>
      </c>
      <c r="N191" t="s">
        <v>30</v>
      </c>
      <c r="O191" t="s">
        <v>42</v>
      </c>
      <c r="P191">
        <v>6</v>
      </c>
      <c r="Q191">
        <v>1</v>
      </c>
      <c r="R191" t="s">
        <v>89</v>
      </c>
      <c r="S191" s="2">
        <v>0.48888888888888887</v>
      </c>
      <c r="T191" t="s">
        <v>33</v>
      </c>
      <c r="U191">
        <v>76734</v>
      </c>
      <c r="V191" t="s">
        <v>107</v>
      </c>
    </row>
    <row r="192" spans="1:22" x14ac:dyDescent="0.35">
      <c r="A192" s="1">
        <v>45992</v>
      </c>
      <c r="B192">
        <v>123751398</v>
      </c>
      <c r="C192">
        <v>1970</v>
      </c>
      <c r="D192" t="s">
        <v>60</v>
      </c>
      <c r="E192" t="s">
        <v>22</v>
      </c>
      <c r="F192" t="s">
        <v>35</v>
      </c>
      <c r="G192" t="s">
        <v>36</v>
      </c>
      <c r="H192" t="s">
        <v>37</v>
      </c>
      <c r="I192" t="s">
        <v>38</v>
      </c>
      <c r="J192">
        <v>0.93300000000000005</v>
      </c>
      <c r="K192" t="s">
        <v>39</v>
      </c>
      <c r="L192" t="s">
        <v>28</v>
      </c>
      <c r="M192" t="s">
        <v>64</v>
      </c>
      <c r="N192" t="s">
        <v>30</v>
      </c>
      <c r="O192" t="s">
        <v>31</v>
      </c>
      <c r="P192">
        <v>0</v>
      </c>
      <c r="Q192">
        <v>2</v>
      </c>
      <c r="R192" t="s">
        <v>32</v>
      </c>
      <c r="S192" s="2">
        <v>0.66736111111111107</v>
      </c>
      <c r="T192" t="s">
        <v>43</v>
      </c>
      <c r="U192">
        <v>933</v>
      </c>
      <c r="V192" t="s">
        <v>103</v>
      </c>
    </row>
    <row r="193" spans="1:22" x14ac:dyDescent="0.35">
      <c r="A193" s="1">
        <v>45748</v>
      </c>
      <c r="B193">
        <v>123594437</v>
      </c>
      <c r="C193">
        <v>1987</v>
      </c>
      <c r="D193" t="s">
        <v>34</v>
      </c>
      <c r="E193" t="s">
        <v>44</v>
      </c>
      <c r="F193" t="s">
        <v>23</v>
      </c>
      <c r="G193" t="s">
        <v>24</v>
      </c>
      <c r="H193" t="s">
        <v>25</v>
      </c>
      <c r="I193" t="s">
        <v>38</v>
      </c>
      <c r="J193">
        <v>1.002</v>
      </c>
      <c r="K193" t="s">
        <v>27</v>
      </c>
      <c r="L193" t="s">
        <v>28</v>
      </c>
      <c r="M193" t="s">
        <v>55</v>
      </c>
      <c r="N193" t="s">
        <v>30</v>
      </c>
      <c r="O193" t="s">
        <v>42</v>
      </c>
      <c r="P193">
        <v>4</v>
      </c>
      <c r="Q193">
        <v>1</v>
      </c>
      <c r="R193" t="s">
        <v>32</v>
      </c>
      <c r="S193" s="2">
        <v>0.89583333333333337</v>
      </c>
      <c r="T193" t="s">
        <v>43</v>
      </c>
      <c r="U193">
        <v>108750</v>
      </c>
      <c r="V193" t="s">
        <v>108</v>
      </c>
    </row>
    <row r="194" spans="1:22" x14ac:dyDescent="0.35">
      <c r="A194" s="1">
        <v>45901</v>
      </c>
      <c r="B194">
        <v>123767392</v>
      </c>
      <c r="C194">
        <v>1999</v>
      </c>
      <c r="D194" t="s">
        <v>50</v>
      </c>
      <c r="E194" t="s">
        <v>44</v>
      </c>
      <c r="F194" t="s">
        <v>23</v>
      </c>
      <c r="G194" t="s">
        <v>24</v>
      </c>
      <c r="H194" t="s">
        <v>25</v>
      </c>
      <c r="I194" t="s">
        <v>38</v>
      </c>
      <c r="J194">
        <v>1.079</v>
      </c>
      <c r="K194" t="s">
        <v>27</v>
      </c>
      <c r="L194" t="s">
        <v>40</v>
      </c>
      <c r="M194" t="s">
        <v>86</v>
      </c>
      <c r="N194" t="s">
        <v>30</v>
      </c>
      <c r="O194" t="s">
        <v>42</v>
      </c>
      <c r="P194">
        <v>4</v>
      </c>
      <c r="Q194">
        <v>1</v>
      </c>
      <c r="R194" t="s">
        <v>89</v>
      </c>
      <c r="S194" s="2">
        <v>0.43888888888888888</v>
      </c>
      <c r="T194" t="s">
        <v>33</v>
      </c>
      <c r="U194">
        <v>149242</v>
      </c>
      <c r="V194" t="s">
        <v>101</v>
      </c>
    </row>
    <row r="195" spans="1:22" x14ac:dyDescent="0.35">
      <c r="A195" s="1">
        <v>45839</v>
      </c>
      <c r="B195">
        <v>123534950</v>
      </c>
      <c r="C195">
        <v>2001</v>
      </c>
      <c r="D195" t="s">
        <v>34</v>
      </c>
      <c r="E195" t="s">
        <v>44</v>
      </c>
      <c r="F195" t="s">
        <v>57</v>
      </c>
      <c r="G195" t="s">
        <v>58</v>
      </c>
      <c r="H195" t="s">
        <v>25</v>
      </c>
      <c r="I195" t="s">
        <v>38</v>
      </c>
      <c r="J195">
        <v>1.1830000000000001</v>
      </c>
      <c r="K195" t="s">
        <v>59</v>
      </c>
      <c r="L195" t="s">
        <v>65</v>
      </c>
      <c r="M195" t="s">
        <v>73</v>
      </c>
      <c r="N195" t="s">
        <v>30</v>
      </c>
      <c r="O195" t="s">
        <v>67</v>
      </c>
      <c r="P195">
        <v>1</v>
      </c>
      <c r="Q195">
        <v>3</v>
      </c>
      <c r="R195" t="s">
        <v>89</v>
      </c>
      <c r="S195" s="2">
        <v>0.49791666666666667</v>
      </c>
      <c r="T195" t="s">
        <v>33</v>
      </c>
      <c r="U195">
        <v>6419</v>
      </c>
      <c r="V195" t="s">
        <v>105</v>
      </c>
    </row>
    <row r="196" spans="1:22" x14ac:dyDescent="0.35">
      <c r="A196" s="1">
        <v>45931</v>
      </c>
      <c r="B196">
        <v>123619930</v>
      </c>
      <c r="C196">
        <v>1990</v>
      </c>
      <c r="D196" t="s">
        <v>56</v>
      </c>
      <c r="E196" t="s">
        <v>22</v>
      </c>
      <c r="F196" t="s">
        <v>78</v>
      </c>
      <c r="G196" t="s">
        <v>79</v>
      </c>
      <c r="H196" t="s">
        <v>37</v>
      </c>
      <c r="I196" t="s">
        <v>26</v>
      </c>
      <c r="J196">
        <v>0.85</v>
      </c>
      <c r="K196" t="s">
        <v>80</v>
      </c>
      <c r="L196" t="s">
        <v>28</v>
      </c>
      <c r="M196" t="s">
        <v>29</v>
      </c>
      <c r="N196" t="s">
        <v>30</v>
      </c>
      <c r="O196" t="s">
        <v>42</v>
      </c>
      <c r="P196">
        <v>4</v>
      </c>
      <c r="Q196">
        <v>1</v>
      </c>
      <c r="R196" t="s">
        <v>32</v>
      </c>
      <c r="S196" s="2">
        <v>0.63055555555555554</v>
      </c>
      <c r="T196" t="s">
        <v>43</v>
      </c>
      <c r="U196">
        <v>67805</v>
      </c>
      <c r="V196" t="s">
        <v>104</v>
      </c>
    </row>
    <row r="197" spans="1:22" x14ac:dyDescent="0.35">
      <c r="A197" s="1">
        <v>45901</v>
      </c>
      <c r="B197">
        <v>123770440</v>
      </c>
      <c r="C197">
        <v>1987</v>
      </c>
      <c r="D197" t="s">
        <v>56</v>
      </c>
      <c r="E197" t="s">
        <v>44</v>
      </c>
      <c r="F197" t="s">
        <v>57</v>
      </c>
      <c r="G197" t="s">
        <v>58</v>
      </c>
      <c r="H197" t="s">
        <v>25</v>
      </c>
      <c r="I197" t="s">
        <v>26</v>
      </c>
      <c r="J197">
        <v>1.1599999999999999</v>
      </c>
      <c r="K197" t="s">
        <v>59</v>
      </c>
      <c r="L197" t="s">
        <v>48</v>
      </c>
      <c r="M197" t="s">
        <v>49</v>
      </c>
      <c r="N197" t="s">
        <v>30</v>
      </c>
      <c r="O197" t="s">
        <v>67</v>
      </c>
      <c r="P197">
        <v>1</v>
      </c>
      <c r="Q197">
        <v>1</v>
      </c>
      <c r="R197" t="s">
        <v>89</v>
      </c>
      <c r="S197" s="2">
        <v>0.43263888888888891</v>
      </c>
      <c r="T197" t="s">
        <v>33</v>
      </c>
      <c r="U197">
        <v>3155</v>
      </c>
      <c r="V197" t="s">
        <v>101</v>
      </c>
    </row>
    <row r="198" spans="1:22" x14ac:dyDescent="0.35">
      <c r="A198" s="1">
        <v>45689</v>
      </c>
      <c r="B198">
        <v>123748425</v>
      </c>
      <c r="C198">
        <v>1959</v>
      </c>
      <c r="D198" t="s">
        <v>81</v>
      </c>
      <c r="E198" t="s">
        <v>22</v>
      </c>
      <c r="F198" t="s">
        <v>78</v>
      </c>
      <c r="G198" t="s">
        <v>79</v>
      </c>
      <c r="H198" t="s">
        <v>37</v>
      </c>
      <c r="I198" t="s">
        <v>38</v>
      </c>
      <c r="J198">
        <v>0.97599999999999998</v>
      </c>
      <c r="K198" t="s">
        <v>80</v>
      </c>
      <c r="L198" t="s">
        <v>28</v>
      </c>
      <c r="M198" t="s">
        <v>55</v>
      </c>
      <c r="N198" t="s">
        <v>30</v>
      </c>
      <c r="O198" t="s">
        <v>31</v>
      </c>
      <c r="P198">
        <v>0</v>
      </c>
      <c r="Q198">
        <v>1</v>
      </c>
      <c r="R198" t="s">
        <v>32</v>
      </c>
      <c r="S198" s="2">
        <v>0.33194444444444443</v>
      </c>
      <c r="T198" t="s">
        <v>33</v>
      </c>
      <c r="U198">
        <v>508</v>
      </c>
      <c r="V198" t="s">
        <v>99</v>
      </c>
    </row>
    <row r="199" spans="1:22" x14ac:dyDescent="0.35">
      <c r="A199" s="1">
        <v>45931</v>
      </c>
      <c r="B199">
        <v>123596075</v>
      </c>
      <c r="C199">
        <v>1984</v>
      </c>
      <c r="D199" t="s">
        <v>91</v>
      </c>
      <c r="E199" t="s">
        <v>22</v>
      </c>
      <c r="F199" t="s">
        <v>78</v>
      </c>
      <c r="G199" t="s">
        <v>79</v>
      </c>
      <c r="H199" t="s">
        <v>37</v>
      </c>
      <c r="I199" t="s">
        <v>26</v>
      </c>
      <c r="J199">
        <v>0.98299999999999998</v>
      </c>
      <c r="K199" t="s">
        <v>80</v>
      </c>
      <c r="L199" t="s">
        <v>40</v>
      </c>
      <c r="M199" t="s">
        <v>41</v>
      </c>
      <c r="N199" t="s">
        <v>30</v>
      </c>
      <c r="O199" t="s">
        <v>31</v>
      </c>
      <c r="P199">
        <v>0</v>
      </c>
      <c r="Q199">
        <v>2</v>
      </c>
      <c r="R199" t="s">
        <v>89</v>
      </c>
      <c r="S199" s="2">
        <v>0.45208333333333334</v>
      </c>
      <c r="T199" t="s">
        <v>33</v>
      </c>
      <c r="U199">
        <v>1467</v>
      </c>
      <c r="V199" t="s">
        <v>104</v>
      </c>
    </row>
    <row r="200" spans="1:22" x14ac:dyDescent="0.35">
      <c r="A200" s="1">
        <v>45992</v>
      </c>
      <c r="B200">
        <v>123536750</v>
      </c>
      <c r="C200">
        <v>1973</v>
      </c>
      <c r="D200" t="s">
        <v>56</v>
      </c>
      <c r="E200" t="s">
        <v>22</v>
      </c>
      <c r="F200" t="s">
        <v>23</v>
      </c>
      <c r="G200" t="s">
        <v>24</v>
      </c>
      <c r="H200" t="s">
        <v>25</v>
      </c>
      <c r="I200" t="s">
        <v>38</v>
      </c>
      <c r="J200">
        <v>0.82399999999999995</v>
      </c>
      <c r="K200" t="s">
        <v>27</v>
      </c>
      <c r="L200" t="s">
        <v>28</v>
      </c>
      <c r="M200" t="s">
        <v>55</v>
      </c>
      <c r="N200" t="s">
        <v>30</v>
      </c>
      <c r="O200" t="s">
        <v>42</v>
      </c>
      <c r="P200">
        <v>4</v>
      </c>
      <c r="Q200">
        <v>1</v>
      </c>
      <c r="R200" t="s">
        <v>32</v>
      </c>
      <c r="S200" s="2">
        <v>0.43958333333333333</v>
      </c>
      <c r="T200" t="s">
        <v>33</v>
      </c>
      <c r="U200">
        <v>27872</v>
      </c>
      <c r="V200" t="s">
        <v>103</v>
      </c>
    </row>
    <row r="201" spans="1:22" x14ac:dyDescent="0.35">
      <c r="A201" s="1">
        <v>45809</v>
      </c>
      <c r="B201">
        <v>123713947</v>
      </c>
      <c r="C201">
        <v>1985</v>
      </c>
      <c r="D201" t="s">
        <v>82</v>
      </c>
      <c r="E201" t="s">
        <v>44</v>
      </c>
      <c r="F201" t="s">
        <v>74</v>
      </c>
      <c r="G201" t="s">
        <v>75</v>
      </c>
      <c r="H201" t="s">
        <v>37</v>
      </c>
      <c r="I201" t="s">
        <v>38</v>
      </c>
      <c r="J201">
        <v>0.98399999999999999</v>
      </c>
      <c r="K201" t="s">
        <v>76</v>
      </c>
      <c r="L201" t="s">
        <v>28</v>
      </c>
      <c r="M201" t="s">
        <v>29</v>
      </c>
      <c r="N201" t="s">
        <v>30</v>
      </c>
      <c r="O201" t="s">
        <v>42</v>
      </c>
      <c r="P201">
        <v>2</v>
      </c>
      <c r="Q201">
        <v>3</v>
      </c>
      <c r="R201" t="s">
        <v>32</v>
      </c>
      <c r="S201" s="2">
        <v>0.46111111111111114</v>
      </c>
      <c r="T201" t="s">
        <v>33</v>
      </c>
      <c r="U201">
        <v>20053</v>
      </c>
      <c r="V201" t="s">
        <v>100</v>
      </c>
    </row>
    <row r="202" spans="1:22" x14ac:dyDescent="0.35">
      <c r="A202" s="1">
        <v>45839</v>
      </c>
      <c r="B202">
        <v>123526358</v>
      </c>
      <c r="C202">
        <v>1995</v>
      </c>
      <c r="D202" t="s">
        <v>69</v>
      </c>
      <c r="E202" t="s">
        <v>22</v>
      </c>
      <c r="F202" t="s">
        <v>35</v>
      </c>
      <c r="G202" t="s">
        <v>36</v>
      </c>
      <c r="H202" t="s">
        <v>37</v>
      </c>
      <c r="I202" t="s">
        <v>26</v>
      </c>
      <c r="J202">
        <v>0.98599999999999999</v>
      </c>
      <c r="K202" t="s">
        <v>39</v>
      </c>
      <c r="L202" t="s">
        <v>48</v>
      </c>
      <c r="M202" t="s">
        <v>87</v>
      </c>
      <c r="N202" t="s">
        <v>30</v>
      </c>
      <c r="O202" t="s">
        <v>31</v>
      </c>
      <c r="P202">
        <v>0</v>
      </c>
      <c r="Q202">
        <v>2</v>
      </c>
      <c r="R202" t="s">
        <v>32</v>
      </c>
      <c r="S202" s="2">
        <v>0.90555555555555556</v>
      </c>
      <c r="T202" t="s">
        <v>43</v>
      </c>
      <c r="U202">
        <v>395</v>
      </c>
      <c r="V202" t="s">
        <v>105</v>
      </c>
    </row>
    <row r="203" spans="1:22" x14ac:dyDescent="0.35">
      <c r="A203" s="1">
        <v>45870</v>
      </c>
      <c r="B203">
        <v>123520854</v>
      </c>
      <c r="C203">
        <v>1957</v>
      </c>
      <c r="D203" t="s">
        <v>91</v>
      </c>
      <c r="E203" t="s">
        <v>22</v>
      </c>
      <c r="F203" t="s">
        <v>61</v>
      </c>
      <c r="G203" t="s">
        <v>62</v>
      </c>
      <c r="H203" t="s">
        <v>25</v>
      </c>
      <c r="I203" t="s">
        <v>38</v>
      </c>
      <c r="J203">
        <v>0.95199999999999996</v>
      </c>
      <c r="K203" t="s">
        <v>63</v>
      </c>
      <c r="L203" t="s">
        <v>65</v>
      </c>
      <c r="M203" t="s">
        <v>73</v>
      </c>
      <c r="N203" t="s">
        <v>30</v>
      </c>
      <c r="O203" t="s">
        <v>42</v>
      </c>
      <c r="P203">
        <v>4</v>
      </c>
      <c r="Q203">
        <v>2</v>
      </c>
      <c r="R203" t="s">
        <v>32</v>
      </c>
      <c r="S203" s="2">
        <v>0.28541666666666665</v>
      </c>
      <c r="T203" t="s">
        <v>33</v>
      </c>
      <c r="U203">
        <v>19358</v>
      </c>
      <c r="V203" t="s">
        <v>109</v>
      </c>
    </row>
    <row r="204" spans="1:22" x14ac:dyDescent="0.35">
      <c r="A204" s="1">
        <v>45748</v>
      </c>
      <c r="B204">
        <v>123985531</v>
      </c>
      <c r="C204">
        <v>2000</v>
      </c>
      <c r="D204" t="s">
        <v>34</v>
      </c>
      <c r="E204" t="s">
        <v>44</v>
      </c>
      <c r="F204" t="s">
        <v>35</v>
      </c>
      <c r="G204" t="s">
        <v>36</v>
      </c>
      <c r="H204" t="s">
        <v>37</v>
      </c>
      <c r="I204" t="s">
        <v>38</v>
      </c>
      <c r="J204">
        <v>1.0489999999999999</v>
      </c>
      <c r="K204" t="s">
        <v>39</v>
      </c>
      <c r="L204" t="s">
        <v>28</v>
      </c>
      <c r="M204" t="s">
        <v>55</v>
      </c>
      <c r="N204" t="s">
        <v>30</v>
      </c>
      <c r="O204" t="s">
        <v>31</v>
      </c>
      <c r="P204">
        <v>0</v>
      </c>
      <c r="Q204">
        <v>2</v>
      </c>
      <c r="R204" t="s">
        <v>32</v>
      </c>
      <c r="S204" s="2">
        <v>0.43611111111111112</v>
      </c>
      <c r="T204" t="s">
        <v>33</v>
      </c>
      <c r="U204">
        <v>769</v>
      </c>
      <c r="V204" t="s">
        <v>108</v>
      </c>
    </row>
    <row r="205" spans="1:22" x14ac:dyDescent="0.35">
      <c r="A205" s="1">
        <v>45839</v>
      </c>
      <c r="B205">
        <v>123971630</v>
      </c>
      <c r="C205">
        <v>2000</v>
      </c>
      <c r="D205" t="s">
        <v>91</v>
      </c>
      <c r="E205" t="s">
        <v>44</v>
      </c>
      <c r="F205" t="s">
        <v>83</v>
      </c>
      <c r="G205" t="s">
        <v>84</v>
      </c>
      <c r="H205" t="s">
        <v>53</v>
      </c>
      <c r="I205" t="s">
        <v>38</v>
      </c>
      <c r="J205">
        <v>1.1579999999999999</v>
      </c>
      <c r="K205" t="s">
        <v>85</v>
      </c>
      <c r="L205" t="s">
        <v>28</v>
      </c>
      <c r="M205" t="s">
        <v>55</v>
      </c>
      <c r="N205" t="s">
        <v>30</v>
      </c>
      <c r="O205" t="s">
        <v>42</v>
      </c>
      <c r="P205">
        <v>6</v>
      </c>
      <c r="Q205">
        <v>1</v>
      </c>
      <c r="R205" t="s">
        <v>32</v>
      </c>
      <c r="S205" s="2">
        <v>0.27847222222222223</v>
      </c>
      <c r="T205" t="s">
        <v>33</v>
      </c>
      <c r="U205">
        <v>57806</v>
      </c>
      <c r="V205" t="s">
        <v>105</v>
      </c>
    </row>
    <row r="206" spans="1:22" x14ac:dyDescent="0.35">
      <c r="A206" s="1">
        <v>45992</v>
      </c>
      <c r="B206">
        <v>123506814</v>
      </c>
      <c r="C206">
        <v>2001</v>
      </c>
      <c r="D206" t="s">
        <v>77</v>
      </c>
      <c r="E206" t="s">
        <v>22</v>
      </c>
      <c r="F206" t="s">
        <v>74</v>
      </c>
      <c r="G206" t="s">
        <v>75</v>
      </c>
      <c r="H206" t="s">
        <v>37</v>
      </c>
      <c r="I206" t="s">
        <v>38</v>
      </c>
      <c r="J206">
        <v>1.0920000000000001</v>
      </c>
      <c r="K206" t="s">
        <v>76</v>
      </c>
      <c r="L206" t="s">
        <v>40</v>
      </c>
      <c r="M206" t="s">
        <v>86</v>
      </c>
      <c r="N206" t="s">
        <v>30</v>
      </c>
      <c r="O206" t="s">
        <v>31</v>
      </c>
      <c r="P206">
        <v>0</v>
      </c>
      <c r="Q206">
        <v>2</v>
      </c>
      <c r="R206" t="s">
        <v>32</v>
      </c>
      <c r="S206" s="2">
        <v>0.30416666666666664</v>
      </c>
      <c r="T206" t="s">
        <v>33</v>
      </c>
      <c r="U206">
        <v>442</v>
      </c>
      <c r="V206" t="s">
        <v>103</v>
      </c>
    </row>
    <row r="207" spans="1:22" x14ac:dyDescent="0.35">
      <c r="A207" s="1">
        <v>45992</v>
      </c>
      <c r="B207">
        <v>123621758</v>
      </c>
      <c r="C207">
        <v>1967</v>
      </c>
      <c r="D207" t="s">
        <v>56</v>
      </c>
      <c r="E207" t="s">
        <v>44</v>
      </c>
      <c r="F207" t="s">
        <v>57</v>
      </c>
      <c r="G207" t="s">
        <v>58</v>
      </c>
      <c r="H207" t="s">
        <v>25</v>
      </c>
      <c r="I207" t="s">
        <v>38</v>
      </c>
      <c r="J207">
        <v>0.93</v>
      </c>
      <c r="K207" t="s">
        <v>59</v>
      </c>
      <c r="L207" t="s">
        <v>48</v>
      </c>
      <c r="M207" t="s">
        <v>49</v>
      </c>
      <c r="N207" t="s">
        <v>30</v>
      </c>
      <c r="O207" t="s">
        <v>67</v>
      </c>
      <c r="P207">
        <v>1</v>
      </c>
      <c r="Q207">
        <v>1</v>
      </c>
      <c r="R207" t="s">
        <v>32</v>
      </c>
      <c r="S207" s="2">
        <v>0.28611111111111109</v>
      </c>
      <c r="T207" t="s">
        <v>33</v>
      </c>
      <c r="U207">
        <v>5187</v>
      </c>
      <c r="V207" t="s">
        <v>103</v>
      </c>
    </row>
    <row r="208" spans="1:22" x14ac:dyDescent="0.35">
      <c r="A208" s="1">
        <v>45689</v>
      </c>
      <c r="B208">
        <v>123674026</v>
      </c>
      <c r="C208">
        <v>2001</v>
      </c>
      <c r="D208" t="s">
        <v>92</v>
      </c>
      <c r="E208" t="s">
        <v>44</v>
      </c>
      <c r="F208" t="s">
        <v>74</v>
      </c>
      <c r="G208" t="s">
        <v>75</v>
      </c>
      <c r="H208" t="s">
        <v>37</v>
      </c>
      <c r="I208" t="s">
        <v>26</v>
      </c>
      <c r="J208">
        <v>0.96399999999999997</v>
      </c>
      <c r="K208" t="s">
        <v>76</v>
      </c>
      <c r="L208" t="s">
        <v>65</v>
      </c>
      <c r="M208" t="s">
        <v>66</v>
      </c>
      <c r="N208" t="s">
        <v>30</v>
      </c>
      <c r="O208" t="s">
        <v>67</v>
      </c>
      <c r="P208">
        <v>1</v>
      </c>
      <c r="Q208">
        <v>2</v>
      </c>
      <c r="R208" t="s">
        <v>89</v>
      </c>
      <c r="S208" s="2">
        <v>0.32083333333333336</v>
      </c>
      <c r="T208" t="s">
        <v>33</v>
      </c>
      <c r="U208">
        <v>6262</v>
      </c>
      <c r="V208" t="s">
        <v>99</v>
      </c>
    </row>
    <row r="209" spans="1:22" x14ac:dyDescent="0.35">
      <c r="A209" s="1">
        <v>45870</v>
      </c>
      <c r="B209">
        <v>123801237</v>
      </c>
      <c r="C209">
        <v>2004</v>
      </c>
      <c r="D209" t="s">
        <v>34</v>
      </c>
      <c r="E209" t="s">
        <v>44</v>
      </c>
      <c r="F209" t="s">
        <v>23</v>
      </c>
      <c r="G209" t="s">
        <v>24</v>
      </c>
      <c r="H209" t="s">
        <v>25</v>
      </c>
      <c r="I209" t="s">
        <v>26</v>
      </c>
      <c r="J209">
        <v>1.022</v>
      </c>
      <c r="K209" t="s">
        <v>27</v>
      </c>
      <c r="L209" t="s">
        <v>28</v>
      </c>
      <c r="M209" t="s">
        <v>29</v>
      </c>
      <c r="N209" t="s">
        <v>30</v>
      </c>
      <c r="O209" t="s">
        <v>67</v>
      </c>
      <c r="P209">
        <v>1</v>
      </c>
      <c r="Q209">
        <v>3</v>
      </c>
      <c r="R209" t="s">
        <v>89</v>
      </c>
      <c r="S209" s="2">
        <v>0.62986111111111109</v>
      </c>
      <c r="T209" t="s">
        <v>43</v>
      </c>
      <c r="U209">
        <v>7790</v>
      </c>
      <c r="V209" t="s">
        <v>109</v>
      </c>
    </row>
    <row r="210" spans="1:22" x14ac:dyDescent="0.35">
      <c r="A210" s="1">
        <v>45689</v>
      </c>
      <c r="B210">
        <v>123680024</v>
      </c>
      <c r="C210">
        <v>1981</v>
      </c>
      <c r="D210" t="s">
        <v>69</v>
      </c>
      <c r="E210" t="s">
        <v>22</v>
      </c>
      <c r="F210" t="s">
        <v>45</v>
      </c>
      <c r="G210" t="s">
        <v>46</v>
      </c>
      <c r="H210" t="s">
        <v>37</v>
      </c>
      <c r="I210" t="s">
        <v>38</v>
      </c>
      <c r="J210">
        <v>1.089</v>
      </c>
      <c r="K210" t="s">
        <v>47</v>
      </c>
      <c r="L210" t="s">
        <v>28</v>
      </c>
      <c r="M210" t="s">
        <v>55</v>
      </c>
      <c r="N210" t="s">
        <v>30</v>
      </c>
      <c r="O210" t="s">
        <v>31</v>
      </c>
      <c r="P210">
        <v>0</v>
      </c>
      <c r="Q210">
        <v>2</v>
      </c>
      <c r="R210" t="s">
        <v>32</v>
      </c>
      <c r="S210" s="2">
        <v>0.28819444444444442</v>
      </c>
      <c r="T210" t="s">
        <v>33</v>
      </c>
      <c r="U210">
        <v>1476</v>
      </c>
      <c r="V210" t="s">
        <v>99</v>
      </c>
    </row>
    <row r="211" spans="1:22" x14ac:dyDescent="0.35">
      <c r="A211" s="1">
        <v>45901</v>
      </c>
      <c r="B211">
        <v>123913021</v>
      </c>
      <c r="C211">
        <v>1979</v>
      </c>
      <c r="D211" t="s">
        <v>34</v>
      </c>
      <c r="E211" t="s">
        <v>44</v>
      </c>
      <c r="F211" t="s">
        <v>23</v>
      </c>
      <c r="G211" t="s">
        <v>24</v>
      </c>
      <c r="H211" t="s">
        <v>25</v>
      </c>
      <c r="I211" t="s">
        <v>38</v>
      </c>
      <c r="J211">
        <v>0.997</v>
      </c>
      <c r="K211" t="s">
        <v>27</v>
      </c>
      <c r="L211" t="s">
        <v>40</v>
      </c>
      <c r="M211" t="s">
        <v>86</v>
      </c>
      <c r="N211" t="s">
        <v>30</v>
      </c>
      <c r="O211" t="s">
        <v>42</v>
      </c>
      <c r="P211">
        <v>5</v>
      </c>
      <c r="Q211">
        <v>2</v>
      </c>
      <c r="R211" t="s">
        <v>32</v>
      </c>
      <c r="S211" s="2">
        <v>0.87083333333333335</v>
      </c>
      <c r="T211" t="s">
        <v>43</v>
      </c>
      <c r="U211">
        <v>69454</v>
      </c>
      <c r="V211" t="s">
        <v>101</v>
      </c>
    </row>
    <row r="212" spans="1:22" x14ac:dyDescent="0.35">
      <c r="A212" s="1">
        <v>45717</v>
      </c>
      <c r="B212">
        <v>123956727</v>
      </c>
      <c r="C212">
        <v>1980</v>
      </c>
      <c r="D212" t="s">
        <v>92</v>
      </c>
      <c r="E212" t="s">
        <v>44</v>
      </c>
      <c r="F212" t="s">
        <v>78</v>
      </c>
      <c r="G212" t="s">
        <v>79</v>
      </c>
      <c r="H212" t="s">
        <v>37</v>
      </c>
      <c r="I212" t="s">
        <v>38</v>
      </c>
      <c r="J212">
        <v>0.97</v>
      </c>
      <c r="K212" t="s">
        <v>80</v>
      </c>
      <c r="L212" t="s">
        <v>28</v>
      </c>
      <c r="M212" t="s">
        <v>64</v>
      </c>
      <c r="N212" t="s">
        <v>30</v>
      </c>
      <c r="O212" t="s">
        <v>31</v>
      </c>
      <c r="P212">
        <v>0</v>
      </c>
      <c r="Q212">
        <v>3</v>
      </c>
      <c r="R212" t="s">
        <v>32</v>
      </c>
      <c r="S212" s="2">
        <v>0.34583333333333333</v>
      </c>
      <c r="T212" t="s">
        <v>33</v>
      </c>
      <c r="U212">
        <v>928</v>
      </c>
      <c r="V212" t="s">
        <v>102</v>
      </c>
    </row>
    <row r="213" spans="1:22" x14ac:dyDescent="0.35">
      <c r="A213" s="1">
        <v>45992</v>
      </c>
      <c r="B213">
        <v>123475616</v>
      </c>
      <c r="C213">
        <v>1970</v>
      </c>
      <c r="D213" t="s">
        <v>60</v>
      </c>
      <c r="E213" t="s">
        <v>44</v>
      </c>
      <c r="F213" t="s">
        <v>74</v>
      </c>
      <c r="G213" t="s">
        <v>75</v>
      </c>
      <c r="H213" t="s">
        <v>37</v>
      </c>
      <c r="I213" t="s">
        <v>26</v>
      </c>
      <c r="J213">
        <v>0.86099999999999999</v>
      </c>
      <c r="K213" t="s">
        <v>76</v>
      </c>
      <c r="L213" t="s">
        <v>65</v>
      </c>
      <c r="M213" t="s">
        <v>73</v>
      </c>
      <c r="N213" t="s">
        <v>30</v>
      </c>
      <c r="O213" t="s">
        <v>31</v>
      </c>
      <c r="P213">
        <v>0</v>
      </c>
      <c r="Q213">
        <v>1</v>
      </c>
      <c r="R213" t="s">
        <v>32</v>
      </c>
      <c r="S213" s="2">
        <v>0.47013888888888888</v>
      </c>
      <c r="T213" t="s">
        <v>33</v>
      </c>
      <c r="U213">
        <v>389</v>
      </c>
      <c r="V213" t="s">
        <v>103</v>
      </c>
    </row>
    <row r="214" spans="1:22" x14ac:dyDescent="0.35">
      <c r="A214" s="1">
        <v>45901</v>
      </c>
      <c r="B214">
        <v>123618476</v>
      </c>
      <c r="C214">
        <v>1970</v>
      </c>
      <c r="D214" t="s">
        <v>68</v>
      </c>
      <c r="E214" t="s">
        <v>44</v>
      </c>
      <c r="F214" t="s">
        <v>61</v>
      </c>
      <c r="G214" t="s">
        <v>62</v>
      </c>
      <c r="H214" t="s">
        <v>25</v>
      </c>
      <c r="I214" t="s">
        <v>38</v>
      </c>
      <c r="J214">
        <v>0.998</v>
      </c>
      <c r="K214" t="s">
        <v>63</v>
      </c>
      <c r="L214" t="s">
        <v>28</v>
      </c>
      <c r="M214" t="s">
        <v>55</v>
      </c>
      <c r="N214" t="s">
        <v>30</v>
      </c>
      <c r="O214" t="s">
        <v>67</v>
      </c>
      <c r="P214">
        <v>1</v>
      </c>
      <c r="Q214">
        <v>2</v>
      </c>
      <c r="R214" t="s">
        <v>89</v>
      </c>
      <c r="S214" s="2">
        <v>0.7583333333333333</v>
      </c>
      <c r="T214" t="s">
        <v>43</v>
      </c>
      <c r="U214">
        <v>4945</v>
      </c>
      <c r="V214" t="s">
        <v>101</v>
      </c>
    </row>
    <row r="215" spans="1:22" x14ac:dyDescent="0.35">
      <c r="A215" s="1">
        <v>45870</v>
      </c>
      <c r="B215">
        <v>123646872</v>
      </c>
      <c r="C215">
        <v>1982</v>
      </c>
      <c r="D215" t="s">
        <v>60</v>
      </c>
      <c r="E215" t="s">
        <v>22</v>
      </c>
      <c r="F215" t="s">
        <v>57</v>
      </c>
      <c r="G215" t="s">
        <v>58</v>
      </c>
      <c r="H215" t="s">
        <v>25</v>
      </c>
      <c r="I215" t="s">
        <v>26</v>
      </c>
      <c r="J215">
        <v>1.0589999999999999</v>
      </c>
      <c r="K215" t="s">
        <v>59</v>
      </c>
      <c r="L215" t="s">
        <v>65</v>
      </c>
      <c r="M215" t="s">
        <v>66</v>
      </c>
      <c r="N215" t="s">
        <v>30</v>
      </c>
      <c r="O215" t="s">
        <v>31</v>
      </c>
      <c r="P215">
        <v>0</v>
      </c>
      <c r="Q215">
        <v>2</v>
      </c>
      <c r="R215" t="s">
        <v>32</v>
      </c>
      <c r="S215" s="2">
        <v>0.85416666666666663</v>
      </c>
      <c r="T215" t="s">
        <v>43</v>
      </c>
      <c r="U215">
        <v>654</v>
      </c>
      <c r="V215" t="s">
        <v>109</v>
      </c>
    </row>
    <row r="216" spans="1:22" x14ac:dyDescent="0.35">
      <c r="A216" s="1">
        <v>45689</v>
      </c>
      <c r="B216">
        <v>123763779</v>
      </c>
      <c r="C216">
        <v>1966</v>
      </c>
      <c r="D216" t="s">
        <v>88</v>
      </c>
      <c r="E216" t="s">
        <v>44</v>
      </c>
      <c r="F216" t="s">
        <v>70</v>
      </c>
      <c r="G216" t="s">
        <v>71</v>
      </c>
      <c r="H216" t="s">
        <v>37</v>
      </c>
      <c r="I216" t="s">
        <v>38</v>
      </c>
      <c r="J216">
        <v>1.1919999999999999</v>
      </c>
      <c r="K216" t="s">
        <v>72</v>
      </c>
      <c r="L216" t="s">
        <v>65</v>
      </c>
      <c r="M216" t="s">
        <v>73</v>
      </c>
      <c r="N216" t="s">
        <v>30</v>
      </c>
      <c r="O216" t="s">
        <v>42</v>
      </c>
      <c r="P216">
        <v>4</v>
      </c>
      <c r="Q216">
        <v>2</v>
      </c>
      <c r="R216" t="s">
        <v>89</v>
      </c>
      <c r="S216" s="2">
        <v>0.41666666666666669</v>
      </c>
      <c r="T216" t="s">
        <v>33</v>
      </c>
      <c r="U216">
        <v>102342</v>
      </c>
      <c r="V216" t="s">
        <v>99</v>
      </c>
    </row>
    <row r="217" spans="1:22" x14ac:dyDescent="0.35">
      <c r="A217" s="1">
        <v>45931</v>
      </c>
      <c r="B217">
        <v>123837888</v>
      </c>
      <c r="C217">
        <v>2002</v>
      </c>
      <c r="D217" t="s">
        <v>60</v>
      </c>
      <c r="E217" t="s">
        <v>44</v>
      </c>
      <c r="F217" t="s">
        <v>35</v>
      </c>
      <c r="G217" t="s">
        <v>36</v>
      </c>
      <c r="H217" t="s">
        <v>37</v>
      </c>
      <c r="I217" t="s">
        <v>38</v>
      </c>
      <c r="J217">
        <v>0.95099999999999996</v>
      </c>
      <c r="K217" t="s">
        <v>39</v>
      </c>
      <c r="L217" t="s">
        <v>28</v>
      </c>
      <c r="M217" t="s">
        <v>55</v>
      </c>
      <c r="N217" t="s">
        <v>30</v>
      </c>
      <c r="O217" t="s">
        <v>31</v>
      </c>
      <c r="P217">
        <v>0</v>
      </c>
      <c r="Q217">
        <v>2</v>
      </c>
      <c r="R217" t="s">
        <v>32</v>
      </c>
      <c r="S217" s="2">
        <v>0.59513888888888888</v>
      </c>
      <c r="T217" t="s">
        <v>43</v>
      </c>
      <c r="U217">
        <v>1905</v>
      </c>
      <c r="V217" t="s">
        <v>104</v>
      </c>
    </row>
    <row r="218" spans="1:22" x14ac:dyDescent="0.35">
      <c r="A218" s="1">
        <v>45839</v>
      </c>
      <c r="B218">
        <v>123628020</v>
      </c>
      <c r="C218">
        <v>1974</v>
      </c>
      <c r="D218" t="s">
        <v>81</v>
      </c>
      <c r="E218" t="s">
        <v>22</v>
      </c>
      <c r="F218" t="s">
        <v>78</v>
      </c>
      <c r="G218" t="s">
        <v>79</v>
      </c>
      <c r="H218" t="s">
        <v>37</v>
      </c>
      <c r="I218" t="s">
        <v>38</v>
      </c>
      <c r="J218">
        <v>1.0589999999999999</v>
      </c>
      <c r="K218" t="s">
        <v>80</v>
      </c>
      <c r="L218" t="s">
        <v>28</v>
      </c>
      <c r="M218" t="s">
        <v>64</v>
      </c>
      <c r="N218" t="s">
        <v>30</v>
      </c>
      <c r="O218" t="s">
        <v>31</v>
      </c>
      <c r="P218">
        <v>0</v>
      </c>
      <c r="Q218">
        <v>3</v>
      </c>
      <c r="R218" t="s">
        <v>89</v>
      </c>
      <c r="S218" s="2">
        <v>0.27847222222222223</v>
      </c>
      <c r="T218" t="s">
        <v>33</v>
      </c>
      <c r="U218">
        <v>483</v>
      </c>
      <c r="V218" t="s">
        <v>105</v>
      </c>
    </row>
    <row r="219" spans="1:22" x14ac:dyDescent="0.35">
      <c r="A219" s="1">
        <v>45931</v>
      </c>
      <c r="B219">
        <v>123589978</v>
      </c>
      <c r="C219">
        <v>1993</v>
      </c>
      <c r="D219" t="s">
        <v>34</v>
      </c>
      <c r="E219" t="s">
        <v>22</v>
      </c>
      <c r="F219" t="s">
        <v>74</v>
      </c>
      <c r="G219" t="s">
        <v>75</v>
      </c>
      <c r="H219" t="s">
        <v>37</v>
      </c>
      <c r="I219" t="s">
        <v>38</v>
      </c>
      <c r="J219">
        <v>0.98699999999999999</v>
      </c>
      <c r="K219" t="s">
        <v>76</v>
      </c>
      <c r="L219" t="s">
        <v>28</v>
      </c>
      <c r="M219" t="s">
        <v>55</v>
      </c>
      <c r="N219" t="s">
        <v>30</v>
      </c>
      <c r="O219" t="s">
        <v>67</v>
      </c>
      <c r="P219">
        <v>1</v>
      </c>
      <c r="Q219">
        <v>3</v>
      </c>
      <c r="R219" t="s">
        <v>89</v>
      </c>
      <c r="S219" s="2">
        <v>0.78125</v>
      </c>
      <c r="T219" t="s">
        <v>43</v>
      </c>
      <c r="U219">
        <v>6872</v>
      </c>
      <c r="V219" t="s">
        <v>104</v>
      </c>
    </row>
    <row r="220" spans="1:22" x14ac:dyDescent="0.35">
      <c r="A220" s="1">
        <v>45870</v>
      </c>
      <c r="B220">
        <v>123884362</v>
      </c>
      <c r="C220">
        <v>1989</v>
      </c>
      <c r="D220" t="s">
        <v>92</v>
      </c>
      <c r="E220" t="s">
        <v>44</v>
      </c>
      <c r="F220" t="s">
        <v>78</v>
      </c>
      <c r="G220" t="s">
        <v>79</v>
      </c>
      <c r="H220" t="s">
        <v>37</v>
      </c>
      <c r="I220" t="s">
        <v>38</v>
      </c>
      <c r="J220">
        <v>1.0469999999999999</v>
      </c>
      <c r="K220" t="s">
        <v>80</v>
      </c>
      <c r="L220" t="s">
        <v>28</v>
      </c>
      <c r="M220" t="s">
        <v>29</v>
      </c>
      <c r="N220" t="s">
        <v>30</v>
      </c>
      <c r="O220" t="s">
        <v>67</v>
      </c>
      <c r="P220">
        <v>1</v>
      </c>
      <c r="Q220">
        <v>1</v>
      </c>
      <c r="R220" t="s">
        <v>89</v>
      </c>
      <c r="S220" s="2">
        <v>0.35138888888888886</v>
      </c>
      <c r="T220" t="s">
        <v>33</v>
      </c>
      <c r="U220">
        <v>2684</v>
      </c>
      <c r="V220" t="s">
        <v>109</v>
      </c>
    </row>
    <row r="221" spans="1:22" x14ac:dyDescent="0.35">
      <c r="A221" s="1">
        <v>45992</v>
      </c>
      <c r="B221">
        <v>123642429</v>
      </c>
      <c r="C221">
        <v>1988</v>
      </c>
      <c r="D221" t="s">
        <v>88</v>
      </c>
      <c r="E221" t="s">
        <v>44</v>
      </c>
      <c r="F221" t="s">
        <v>70</v>
      </c>
      <c r="G221" t="s">
        <v>71</v>
      </c>
      <c r="H221" t="s">
        <v>37</v>
      </c>
      <c r="I221" t="s">
        <v>38</v>
      </c>
      <c r="J221">
        <v>1.0029999999999999</v>
      </c>
      <c r="K221" t="s">
        <v>72</v>
      </c>
      <c r="L221" t="s">
        <v>65</v>
      </c>
      <c r="M221" t="s">
        <v>73</v>
      </c>
      <c r="N221" t="s">
        <v>30</v>
      </c>
      <c r="O221" t="s">
        <v>67</v>
      </c>
      <c r="P221">
        <v>1</v>
      </c>
      <c r="Q221">
        <v>1</v>
      </c>
      <c r="R221" t="s">
        <v>32</v>
      </c>
      <c r="S221" s="2">
        <v>0.80833333333333335</v>
      </c>
      <c r="T221" t="s">
        <v>43</v>
      </c>
      <c r="U221">
        <v>4985</v>
      </c>
      <c r="V221" t="s">
        <v>103</v>
      </c>
    </row>
    <row r="222" spans="1:22" x14ac:dyDescent="0.35">
      <c r="A222" s="1">
        <v>45962</v>
      </c>
      <c r="B222">
        <v>123754733</v>
      </c>
      <c r="C222">
        <v>1986</v>
      </c>
      <c r="D222" t="s">
        <v>68</v>
      </c>
      <c r="E222" t="s">
        <v>22</v>
      </c>
      <c r="F222" t="s">
        <v>70</v>
      </c>
      <c r="G222" t="s">
        <v>71</v>
      </c>
      <c r="H222" t="s">
        <v>37</v>
      </c>
      <c r="I222" t="s">
        <v>38</v>
      </c>
      <c r="J222">
        <v>1.07</v>
      </c>
      <c r="K222" t="s">
        <v>72</v>
      </c>
      <c r="L222" t="s">
        <v>65</v>
      </c>
      <c r="M222" t="s">
        <v>66</v>
      </c>
      <c r="N222" t="s">
        <v>30</v>
      </c>
      <c r="O222" t="s">
        <v>31</v>
      </c>
      <c r="P222">
        <v>0</v>
      </c>
      <c r="Q222">
        <v>1</v>
      </c>
      <c r="R222" t="s">
        <v>89</v>
      </c>
      <c r="S222" s="2">
        <v>0.82777777777777772</v>
      </c>
      <c r="T222" t="s">
        <v>43</v>
      </c>
      <c r="U222">
        <v>401</v>
      </c>
      <c r="V222" t="s">
        <v>106</v>
      </c>
    </row>
    <row r="223" spans="1:22" x14ac:dyDescent="0.35">
      <c r="A223" s="1">
        <v>45931</v>
      </c>
      <c r="B223">
        <v>123563153</v>
      </c>
      <c r="C223">
        <v>2004</v>
      </c>
      <c r="D223" t="s">
        <v>34</v>
      </c>
      <c r="E223" t="s">
        <v>44</v>
      </c>
      <c r="F223" t="s">
        <v>35</v>
      </c>
      <c r="G223" t="s">
        <v>36</v>
      </c>
      <c r="H223" t="s">
        <v>37</v>
      </c>
      <c r="I223" t="s">
        <v>26</v>
      </c>
      <c r="J223">
        <v>1.071</v>
      </c>
      <c r="K223" t="s">
        <v>39</v>
      </c>
      <c r="L223" t="s">
        <v>65</v>
      </c>
      <c r="M223" t="s">
        <v>66</v>
      </c>
      <c r="N223" t="s">
        <v>30</v>
      </c>
      <c r="O223" t="s">
        <v>31</v>
      </c>
      <c r="P223">
        <v>0</v>
      </c>
      <c r="Q223">
        <v>2</v>
      </c>
      <c r="R223" t="s">
        <v>89</v>
      </c>
      <c r="S223" s="2">
        <v>0.47013888888888888</v>
      </c>
      <c r="T223" t="s">
        <v>33</v>
      </c>
      <c r="U223">
        <v>1718</v>
      </c>
      <c r="V223" t="s">
        <v>104</v>
      </c>
    </row>
    <row r="224" spans="1:22" x14ac:dyDescent="0.35">
      <c r="A224" s="1">
        <v>45870</v>
      </c>
      <c r="B224">
        <v>123690691</v>
      </c>
      <c r="C224">
        <v>1976</v>
      </c>
      <c r="D224" t="s">
        <v>88</v>
      </c>
      <c r="E224" t="s">
        <v>44</v>
      </c>
      <c r="F224" t="s">
        <v>78</v>
      </c>
      <c r="G224" t="s">
        <v>79</v>
      </c>
      <c r="H224" t="s">
        <v>37</v>
      </c>
      <c r="I224" t="s">
        <v>38</v>
      </c>
      <c r="J224">
        <v>0.88600000000000001</v>
      </c>
      <c r="K224" t="s">
        <v>80</v>
      </c>
      <c r="L224" t="s">
        <v>40</v>
      </c>
      <c r="M224" t="s">
        <v>86</v>
      </c>
      <c r="N224" t="s">
        <v>30</v>
      </c>
      <c r="O224" t="s">
        <v>31</v>
      </c>
      <c r="P224">
        <v>0</v>
      </c>
      <c r="Q224">
        <v>3</v>
      </c>
      <c r="R224" t="s">
        <v>32</v>
      </c>
      <c r="S224" s="2">
        <v>0.60138888888888886</v>
      </c>
      <c r="T224" t="s">
        <v>43</v>
      </c>
      <c r="U224">
        <v>1451</v>
      </c>
      <c r="V224" t="s">
        <v>109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0DE53-D870-48F9-B6FB-64C33C47311D}">
  <dimension ref="A2:I99"/>
  <sheetViews>
    <sheetView zoomScale="40" zoomScaleNormal="40" workbookViewId="0">
      <selection activeCell="S79" sqref="S79"/>
    </sheetView>
  </sheetViews>
  <sheetFormatPr defaultRowHeight="14.5" x14ac:dyDescent="0.35"/>
  <cols>
    <col min="1" max="1" width="22.1796875" bestFit="1" customWidth="1"/>
    <col min="2" max="2" width="25.36328125" bestFit="1" customWidth="1"/>
    <col min="3" max="3" width="27.81640625" bestFit="1" customWidth="1"/>
    <col min="4" max="4" width="12.36328125" bestFit="1" customWidth="1"/>
    <col min="5" max="5" width="14.36328125" bestFit="1" customWidth="1"/>
    <col min="7" max="7" width="21.453125" bestFit="1" customWidth="1"/>
    <col min="8" max="8" width="13.81640625" bestFit="1" customWidth="1"/>
  </cols>
  <sheetData>
    <row r="2" spans="1:2" x14ac:dyDescent="0.35">
      <c r="A2" s="3" t="s">
        <v>112</v>
      </c>
      <c r="B2" t="s">
        <v>97</v>
      </c>
    </row>
    <row r="3" spans="1:2" x14ac:dyDescent="0.35">
      <c r="A3" s="4" t="s">
        <v>94</v>
      </c>
      <c r="B3" s="19">
        <v>548</v>
      </c>
    </row>
    <row r="4" spans="1:2" x14ac:dyDescent="0.35">
      <c r="A4" s="4" t="s">
        <v>95</v>
      </c>
      <c r="B4" s="19">
        <v>140</v>
      </c>
    </row>
    <row r="5" spans="1:2" x14ac:dyDescent="0.35">
      <c r="A5" s="4" t="s">
        <v>96</v>
      </c>
      <c r="B5" s="19">
        <v>395</v>
      </c>
    </row>
    <row r="6" spans="1:2" x14ac:dyDescent="0.35">
      <c r="A6" s="4" t="s">
        <v>117</v>
      </c>
      <c r="B6" s="19">
        <v>654</v>
      </c>
    </row>
    <row r="7" spans="1:2" x14ac:dyDescent="0.35">
      <c r="A7" s="4" t="s">
        <v>120</v>
      </c>
      <c r="B7" s="19">
        <v>1369</v>
      </c>
    </row>
    <row r="8" spans="1:2" x14ac:dyDescent="0.35">
      <c r="A8" s="4" t="s">
        <v>118</v>
      </c>
      <c r="B8" s="19">
        <v>173</v>
      </c>
    </row>
    <row r="9" spans="1:2" x14ac:dyDescent="0.35">
      <c r="A9" s="4" t="s">
        <v>119</v>
      </c>
      <c r="B9" s="19">
        <v>541</v>
      </c>
    </row>
    <row r="10" spans="1:2" x14ac:dyDescent="0.35">
      <c r="A10" s="4" t="s">
        <v>93</v>
      </c>
      <c r="B10" s="19">
        <v>3820</v>
      </c>
    </row>
    <row r="17" spans="1:2" x14ac:dyDescent="0.35">
      <c r="A17" s="3" t="s">
        <v>113</v>
      </c>
      <c r="B17" t="s">
        <v>97</v>
      </c>
    </row>
    <row r="18" spans="1:2" x14ac:dyDescent="0.35">
      <c r="A18" s="4" t="s">
        <v>48</v>
      </c>
      <c r="B18" s="19">
        <v>395</v>
      </c>
    </row>
    <row r="19" spans="1:2" x14ac:dyDescent="0.35">
      <c r="A19" s="4" t="s">
        <v>28</v>
      </c>
      <c r="B19" s="19">
        <v>1127</v>
      </c>
    </row>
    <row r="20" spans="1:2" x14ac:dyDescent="0.35">
      <c r="A20" s="4" t="s">
        <v>65</v>
      </c>
      <c r="B20" s="19">
        <v>2298</v>
      </c>
    </row>
    <row r="21" spans="1:2" x14ac:dyDescent="0.35">
      <c r="A21" s="4" t="s">
        <v>93</v>
      </c>
      <c r="B21" s="19">
        <v>3820</v>
      </c>
    </row>
    <row r="24" spans="1:2" x14ac:dyDescent="0.35">
      <c r="A24" s="3" t="s">
        <v>114</v>
      </c>
      <c r="B24" t="s">
        <v>110</v>
      </c>
    </row>
    <row r="25" spans="1:2" x14ac:dyDescent="0.35">
      <c r="A25" s="4" t="s">
        <v>60</v>
      </c>
      <c r="B25" s="19">
        <v>8</v>
      </c>
    </row>
    <row r="26" spans="1:2" x14ac:dyDescent="0.35">
      <c r="A26" s="4" t="s">
        <v>68</v>
      </c>
      <c r="B26" s="19">
        <v>1</v>
      </c>
    </row>
    <row r="27" spans="1:2" x14ac:dyDescent="0.35">
      <c r="A27" s="4" t="s">
        <v>21</v>
      </c>
      <c r="B27" s="19">
        <v>1</v>
      </c>
    </row>
    <row r="28" spans="1:2" x14ac:dyDescent="0.35">
      <c r="A28" s="4" t="s">
        <v>34</v>
      </c>
      <c r="B28" s="19">
        <v>3</v>
      </c>
    </row>
    <row r="29" spans="1:2" x14ac:dyDescent="0.35">
      <c r="A29" s="4" t="s">
        <v>69</v>
      </c>
      <c r="B29" s="19">
        <v>2</v>
      </c>
    </row>
    <row r="30" spans="1:2" x14ac:dyDescent="0.35">
      <c r="A30" s="4" t="s">
        <v>93</v>
      </c>
      <c r="B30" s="19">
        <v>15</v>
      </c>
    </row>
    <row r="41" spans="1:2" x14ac:dyDescent="0.35">
      <c r="A41" s="3" t="s">
        <v>10</v>
      </c>
      <c r="B41" t="s">
        <v>111</v>
      </c>
    </row>
    <row r="42" spans="1:2" x14ac:dyDescent="0.35">
      <c r="A42" s="4" t="s">
        <v>76</v>
      </c>
      <c r="B42" s="19">
        <v>0.86099999999999999</v>
      </c>
    </row>
    <row r="43" spans="1:2" x14ac:dyDescent="0.35">
      <c r="A43" s="4" t="s">
        <v>27</v>
      </c>
      <c r="B43" s="19">
        <v>1.048</v>
      </c>
    </row>
    <row r="44" spans="1:2" x14ac:dyDescent="0.35">
      <c r="A44" s="4" t="s">
        <v>54</v>
      </c>
      <c r="B44" s="19">
        <v>0.84</v>
      </c>
    </row>
    <row r="45" spans="1:2" x14ac:dyDescent="0.35">
      <c r="A45" s="4" t="s">
        <v>39</v>
      </c>
      <c r="B45" s="19">
        <v>2.0750000000000002</v>
      </c>
    </row>
    <row r="46" spans="1:2" x14ac:dyDescent="0.35">
      <c r="A46" s="4" t="s">
        <v>72</v>
      </c>
      <c r="B46" s="19">
        <v>1.8919999999999999</v>
      </c>
    </row>
    <row r="47" spans="1:2" x14ac:dyDescent="0.35">
      <c r="A47" s="4" t="s">
        <v>59</v>
      </c>
      <c r="B47" s="19">
        <v>1.0589999999999999</v>
      </c>
    </row>
    <row r="48" spans="1:2" x14ac:dyDescent="0.35">
      <c r="A48" s="4" t="s">
        <v>80</v>
      </c>
      <c r="B48" s="19">
        <v>1.129</v>
      </c>
    </row>
    <row r="49" spans="1:2" x14ac:dyDescent="0.35">
      <c r="A49" s="4" t="s">
        <v>93</v>
      </c>
      <c r="B49" s="19">
        <v>8.9039999999999999</v>
      </c>
    </row>
    <row r="54" spans="1:2" x14ac:dyDescent="0.35">
      <c r="A54" s="14" t="str">
        <f t="shared" ref="A54:B60" si="0">A41</f>
        <v>Specialty</v>
      </c>
      <c r="B54" s="14" t="str">
        <f t="shared" si="0"/>
        <v>Sum of CMI Value</v>
      </c>
    </row>
    <row r="55" spans="1:2" x14ac:dyDescent="0.35">
      <c r="A55" s="14" t="str">
        <f t="shared" si="0"/>
        <v>Cardiology</v>
      </c>
      <c r="B55" s="14">
        <f t="shared" si="0"/>
        <v>0.86099999999999999</v>
      </c>
    </row>
    <row r="56" spans="1:2" x14ac:dyDescent="0.35">
      <c r="A56" s="14" t="str">
        <f t="shared" si="0"/>
        <v>Emergency</v>
      </c>
      <c r="B56" s="14">
        <f t="shared" si="0"/>
        <v>1.048</v>
      </c>
    </row>
    <row r="57" spans="1:2" x14ac:dyDescent="0.35">
      <c r="A57" s="14" t="str">
        <f t="shared" si="0"/>
        <v>Family Medicine</v>
      </c>
      <c r="B57" s="14">
        <f t="shared" si="0"/>
        <v>0.84</v>
      </c>
    </row>
    <row r="58" spans="1:2" x14ac:dyDescent="0.35">
      <c r="A58" s="14" t="str">
        <f t="shared" si="0"/>
        <v>Nephrology</v>
      </c>
      <c r="B58" s="14">
        <f t="shared" si="0"/>
        <v>2.0750000000000002</v>
      </c>
    </row>
    <row r="59" spans="1:2" x14ac:dyDescent="0.35">
      <c r="A59" s="14" t="str">
        <f t="shared" si="0"/>
        <v>Obstetrics &amp; Gynecology</v>
      </c>
      <c r="B59" s="14">
        <f t="shared" si="0"/>
        <v>1.8919999999999999</v>
      </c>
    </row>
    <row r="60" spans="1:2" x14ac:dyDescent="0.35">
      <c r="A60" s="14" t="str">
        <f t="shared" si="0"/>
        <v>Orthopaedics</v>
      </c>
      <c r="B60" s="14">
        <f t="shared" si="0"/>
        <v>1.0589999999999999</v>
      </c>
    </row>
    <row r="68" spans="1:5" x14ac:dyDescent="0.35">
      <c r="A68" s="3" t="s">
        <v>10</v>
      </c>
      <c r="B68" t="s">
        <v>97</v>
      </c>
      <c r="D68" s="17" t="str">
        <f>A68</f>
        <v>Specialty</v>
      </c>
      <c r="E68" s="17" t="str">
        <f>B68</f>
        <v>Sum of Revenue</v>
      </c>
    </row>
    <row r="69" spans="1:5" x14ac:dyDescent="0.35">
      <c r="A69" s="4" t="s">
        <v>76</v>
      </c>
      <c r="B69" s="19">
        <v>389</v>
      </c>
      <c r="D69" s="18" t="str">
        <f t="shared" ref="D69:D73" si="1">A69</f>
        <v>Cardiology</v>
      </c>
      <c r="E69" s="18">
        <f t="shared" ref="E69:E73" si="2">B69</f>
        <v>389</v>
      </c>
    </row>
    <row r="70" spans="1:5" x14ac:dyDescent="0.35">
      <c r="A70" s="4" t="s">
        <v>27</v>
      </c>
      <c r="B70" s="19">
        <v>548</v>
      </c>
      <c r="D70" s="18" t="str">
        <f t="shared" si="1"/>
        <v>Emergency</v>
      </c>
      <c r="E70" s="18">
        <f t="shared" si="2"/>
        <v>548</v>
      </c>
    </row>
    <row r="71" spans="1:5" x14ac:dyDescent="0.35">
      <c r="A71" s="4" t="s">
        <v>54</v>
      </c>
      <c r="B71" s="19">
        <v>173</v>
      </c>
      <c r="D71" s="18" t="str">
        <f t="shared" si="1"/>
        <v>Family Medicine</v>
      </c>
      <c r="E71" s="18">
        <f t="shared" si="2"/>
        <v>173</v>
      </c>
    </row>
    <row r="72" spans="1:5" x14ac:dyDescent="0.35">
      <c r="A72" s="4" t="s">
        <v>39</v>
      </c>
      <c r="B72" s="19">
        <v>661</v>
      </c>
      <c r="D72" s="18" t="str">
        <f t="shared" si="1"/>
        <v>Nephrology</v>
      </c>
      <c r="E72" s="18">
        <f t="shared" si="2"/>
        <v>661</v>
      </c>
    </row>
    <row r="73" spans="1:5" x14ac:dyDescent="0.35">
      <c r="A73" s="4" t="s">
        <v>72</v>
      </c>
      <c r="B73" s="19">
        <v>1255</v>
      </c>
      <c r="D73" s="18" t="str">
        <f t="shared" si="1"/>
        <v>Obstetrics &amp; Gynecology</v>
      </c>
      <c r="E73" s="18">
        <f t="shared" si="2"/>
        <v>1255</v>
      </c>
    </row>
    <row r="74" spans="1:5" x14ac:dyDescent="0.35">
      <c r="A74" s="4" t="s">
        <v>59</v>
      </c>
      <c r="B74" s="19">
        <v>654</v>
      </c>
    </row>
    <row r="75" spans="1:5" x14ac:dyDescent="0.35">
      <c r="A75" s="4" t="s">
        <v>80</v>
      </c>
      <c r="B75" s="19">
        <v>140</v>
      </c>
    </row>
    <row r="76" spans="1:5" x14ac:dyDescent="0.35">
      <c r="A76" s="4" t="s">
        <v>93</v>
      </c>
      <c r="B76" s="19">
        <v>3820</v>
      </c>
    </row>
    <row r="81" spans="1:9" x14ac:dyDescent="0.35">
      <c r="A81" t="s">
        <v>115</v>
      </c>
      <c r="C81" t="s">
        <v>116</v>
      </c>
    </row>
    <row r="82" spans="1:9" x14ac:dyDescent="0.35">
      <c r="A82" s="19">
        <v>1112756380</v>
      </c>
      <c r="C82" s="19">
        <v>0.98933333333333329</v>
      </c>
      <c r="G82" s="5"/>
      <c r="H82" s="6"/>
      <c r="I82" s="7"/>
    </row>
    <row r="83" spans="1:9" x14ac:dyDescent="0.35">
      <c r="G83" s="8"/>
      <c r="H83" s="9"/>
      <c r="I83" s="10"/>
    </row>
    <row r="84" spans="1:9" x14ac:dyDescent="0.35">
      <c r="G84" s="8"/>
      <c r="H84" s="9"/>
      <c r="I84" s="10"/>
    </row>
    <row r="85" spans="1:9" x14ac:dyDescent="0.35">
      <c r="G85" s="8"/>
      <c r="H85" s="9"/>
      <c r="I85" s="10"/>
    </row>
    <row r="86" spans="1:9" x14ac:dyDescent="0.35">
      <c r="G86" s="8"/>
      <c r="H86" s="9"/>
      <c r="I86" s="10"/>
    </row>
    <row r="87" spans="1:9" x14ac:dyDescent="0.35">
      <c r="G87" s="8"/>
      <c r="H87" s="9"/>
      <c r="I87" s="10"/>
    </row>
    <row r="88" spans="1:9" x14ac:dyDescent="0.35">
      <c r="A88" s="3" t="s">
        <v>122</v>
      </c>
      <c r="B88" t="s">
        <v>121</v>
      </c>
      <c r="G88" s="8"/>
      <c r="H88" s="9"/>
      <c r="I88" s="10"/>
    </row>
    <row r="89" spans="1:9" x14ac:dyDescent="0.35">
      <c r="A89" s="4" t="s">
        <v>25</v>
      </c>
      <c r="B89" s="19">
        <v>1.5333333333333334</v>
      </c>
      <c r="G89" s="8"/>
      <c r="H89" s="9"/>
      <c r="I89" s="10"/>
    </row>
    <row r="90" spans="1:9" x14ac:dyDescent="0.35">
      <c r="A90" s="4" t="s">
        <v>53</v>
      </c>
      <c r="B90" s="19">
        <v>1.75</v>
      </c>
      <c r="G90" s="8"/>
      <c r="H90" s="9"/>
      <c r="I90" s="10"/>
    </row>
    <row r="91" spans="1:9" x14ac:dyDescent="0.35">
      <c r="A91" s="4" t="s">
        <v>37</v>
      </c>
      <c r="B91" s="19">
        <v>1.4545454545454546</v>
      </c>
      <c r="G91" s="8"/>
      <c r="H91" s="9"/>
      <c r="I91" s="10"/>
    </row>
    <row r="92" spans="1:9" x14ac:dyDescent="0.35">
      <c r="A92" s="4" t="s">
        <v>93</v>
      </c>
      <c r="B92" s="19">
        <v>1.5121951219512195</v>
      </c>
      <c r="G92" s="8"/>
      <c r="H92" s="9"/>
      <c r="I92" s="10"/>
    </row>
    <row r="93" spans="1:9" x14ac:dyDescent="0.35">
      <c r="G93" s="8"/>
      <c r="H93" s="9"/>
      <c r="I93" s="10"/>
    </row>
    <row r="94" spans="1:9" x14ac:dyDescent="0.35">
      <c r="G94" s="8"/>
      <c r="H94" s="9"/>
      <c r="I94" s="10"/>
    </row>
    <row r="95" spans="1:9" x14ac:dyDescent="0.35">
      <c r="G95" s="8"/>
      <c r="H95" s="9"/>
      <c r="I95" s="10"/>
    </row>
    <row r="96" spans="1:9" x14ac:dyDescent="0.35">
      <c r="G96" s="8"/>
      <c r="H96" s="9"/>
      <c r="I96" s="10"/>
    </row>
    <row r="97" spans="7:9" x14ac:dyDescent="0.35">
      <c r="G97" s="8"/>
      <c r="H97" s="9"/>
      <c r="I97" s="10"/>
    </row>
    <row r="98" spans="7:9" x14ac:dyDescent="0.35">
      <c r="G98" s="8"/>
      <c r="H98" s="9"/>
      <c r="I98" s="10"/>
    </row>
    <row r="99" spans="7:9" x14ac:dyDescent="0.35">
      <c r="G99" s="11"/>
      <c r="H99" s="12"/>
      <c r="I99" s="13"/>
    </row>
  </sheetData>
  <pageMargins left="0.7" right="0.7" top="0.75" bottom="0.75" header="0.3" footer="0.3"/>
  <pageSetup orientation="portrait"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C28F-53BF-4153-952B-1B52F1970B84}">
  <dimension ref="A1:U42"/>
  <sheetViews>
    <sheetView showGridLines="0" tabSelected="1" zoomScale="63" zoomScaleNormal="63" workbookViewId="0">
      <selection activeCell="Y9" sqref="Y9"/>
    </sheetView>
  </sheetViews>
  <sheetFormatPr defaultRowHeight="14.5" x14ac:dyDescent="0.35"/>
  <cols>
    <col min="19" max="19" width="8.7265625" customWidth="1"/>
    <col min="20" max="20" width="0.26953125" customWidth="1"/>
    <col min="21" max="21" width="8.7265625" hidden="1" customWidth="1"/>
  </cols>
  <sheetData>
    <row r="1" spans="1:21" x14ac:dyDescent="0.35">
      <c r="A1" s="16"/>
      <c r="B1" s="16"/>
      <c r="C1" s="16"/>
      <c r="D1" s="16"/>
      <c r="E1" s="16"/>
      <c r="F1" s="16"/>
      <c r="G1" s="16"/>
      <c r="H1" s="16"/>
      <c r="I1" s="16"/>
      <c r="J1" s="16"/>
      <c r="K1" s="16"/>
      <c r="L1" s="16"/>
      <c r="M1" s="16"/>
      <c r="N1" s="16"/>
      <c r="O1" s="16"/>
      <c r="P1" s="16"/>
      <c r="Q1" s="16"/>
      <c r="R1" s="16"/>
      <c r="S1" s="16"/>
      <c r="T1" s="15"/>
      <c r="U1" s="15"/>
    </row>
    <row r="2" spans="1:21" x14ac:dyDescent="0.35">
      <c r="A2" s="16"/>
      <c r="B2" s="16"/>
      <c r="C2" s="16"/>
      <c r="D2" s="16"/>
      <c r="E2" s="16"/>
      <c r="F2" s="16"/>
      <c r="G2" s="16"/>
      <c r="H2" s="16"/>
      <c r="I2" s="16"/>
      <c r="J2" s="16"/>
      <c r="K2" s="16"/>
      <c r="L2" s="16"/>
      <c r="M2" s="16"/>
      <c r="N2" s="16"/>
      <c r="O2" s="16"/>
      <c r="P2" s="16"/>
      <c r="Q2" s="16"/>
      <c r="R2" s="16"/>
      <c r="S2" s="16"/>
      <c r="T2" s="15"/>
      <c r="U2" s="15"/>
    </row>
    <row r="3" spans="1:21" x14ac:dyDescent="0.35">
      <c r="A3" s="16"/>
      <c r="B3" s="16"/>
      <c r="C3" s="16"/>
      <c r="D3" s="16"/>
      <c r="E3" s="16"/>
      <c r="F3" s="16"/>
      <c r="G3" s="16"/>
      <c r="H3" s="16"/>
      <c r="I3" s="16"/>
      <c r="J3" s="16"/>
      <c r="K3" s="16"/>
      <c r="L3" s="16"/>
      <c r="M3" s="16"/>
      <c r="N3" s="16"/>
      <c r="O3" s="16"/>
      <c r="P3" s="16"/>
      <c r="Q3" s="16"/>
      <c r="R3" s="16"/>
      <c r="S3" s="16"/>
      <c r="T3" s="15"/>
      <c r="U3" s="15"/>
    </row>
    <row r="4" spans="1:21" x14ac:dyDescent="0.35">
      <c r="A4" s="16"/>
      <c r="B4" s="16"/>
      <c r="C4" s="16"/>
      <c r="D4" s="16"/>
      <c r="E4" s="16"/>
      <c r="F4" s="16"/>
      <c r="G4" s="16"/>
      <c r="H4" s="16"/>
      <c r="I4" s="16"/>
      <c r="J4" s="16"/>
      <c r="K4" s="16"/>
      <c r="L4" s="16"/>
      <c r="M4" s="16"/>
      <c r="N4" s="16"/>
      <c r="O4" s="16"/>
      <c r="P4" s="16"/>
      <c r="Q4" s="16"/>
      <c r="R4" s="16"/>
      <c r="S4" s="16"/>
      <c r="T4" s="15"/>
      <c r="U4" s="15"/>
    </row>
    <row r="5" spans="1:21" x14ac:dyDescent="0.35">
      <c r="A5" s="16"/>
      <c r="B5" s="16"/>
      <c r="C5" s="16"/>
      <c r="D5" s="16"/>
      <c r="E5" s="16"/>
      <c r="F5" s="16"/>
      <c r="G5" s="16"/>
      <c r="H5" s="16"/>
      <c r="I5" s="16"/>
      <c r="J5" s="16"/>
      <c r="K5" s="16"/>
      <c r="L5" s="16"/>
      <c r="M5" s="16"/>
      <c r="N5" s="16"/>
      <c r="O5" s="16"/>
      <c r="P5" s="16"/>
      <c r="Q5" s="16"/>
      <c r="R5" s="16"/>
      <c r="S5" s="16"/>
      <c r="T5" s="15"/>
      <c r="U5" s="15"/>
    </row>
    <row r="6" spans="1:21" x14ac:dyDescent="0.35">
      <c r="A6" s="16"/>
      <c r="B6" s="16"/>
      <c r="C6" s="16"/>
      <c r="D6" s="16"/>
      <c r="E6" s="16"/>
      <c r="F6" s="16"/>
      <c r="G6" s="16"/>
      <c r="H6" s="16"/>
      <c r="I6" s="16"/>
      <c r="J6" s="16"/>
      <c r="K6" s="16"/>
      <c r="L6" s="16"/>
      <c r="M6" s="16"/>
      <c r="N6" s="16"/>
      <c r="O6" s="16"/>
      <c r="P6" s="16"/>
      <c r="Q6" s="16"/>
      <c r="R6" s="16"/>
      <c r="S6" s="16"/>
      <c r="T6" s="15"/>
      <c r="U6" s="15"/>
    </row>
    <row r="7" spans="1:21" x14ac:dyDescent="0.35">
      <c r="A7" s="16"/>
      <c r="B7" s="16"/>
      <c r="C7" s="16"/>
      <c r="D7" s="16"/>
      <c r="E7" s="16"/>
      <c r="F7" s="16"/>
      <c r="G7" s="16"/>
      <c r="H7" s="16"/>
      <c r="I7" s="16"/>
      <c r="J7" s="16"/>
      <c r="K7" s="16"/>
      <c r="L7" s="16"/>
      <c r="M7" s="16"/>
      <c r="N7" s="16"/>
      <c r="O7" s="16"/>
      <c r="P7" s="16"/>
      <c r="Q7" s="16"/>
      <c r="R7" s="16"/>
      <c r="S7" s="16"/>
      <c r="T7" s="15"/>
      <c r="U7" s="15"/>
    </row>
    <row r="8" spans="1:21" x14ac:dyDescent="0.35">
      <c r="A8" s="16"/>
      <c r="B8" s="16"/>
      <c r="C8" s="16"/>
      <c r="D8" s="16"/>
      <c r="E8" s="16"/>
      <c r="F8" s="16"/>
      <c r="G8" s="16"/>
      <c r="H8" s="16"/>
      <c r="I8" s="16"/>
      <c r="J8" s="16"/>
      <c r="K8" s="16"/>
      <c r="L8" s="16"/>
      <c r="M8" s="16"/>
      <c r="N8" s="16"/>
      <c r="O8" s="16"/>
      <c r="P8" s="16"/>
      <c r="Q8" s="16"/>
      <c r="R8" s="16"/>
      <c r="S8" s="16"/>
      <c r="T8" s="15"/>
      <c r="U8" s="15"/>
    </row>
    <row r="9" spans="1:21" x14ac:dyDescent="0.35">
      <c r="A9" s="16"/>
      <c r="B9" s="16"/>
      <c r="C9" s="16"/>
      <c r="D9" s="16"/>
      <c r="E9" s="16"/>
      <c r="F9" s="16"/>
      <c r="G9" s="16"/>
      <c r="H9" s="16"/>
      <c r="I9" s="16"/>
      <c r="J9" s="16"/>
      <c r="K9" s="16"/>
      <c r="L9" s="16"/>
      <c r="M9" s="16"/>
      <c r="N9" s="16"/>
      <c r="O9" s="16"/>
      <c r="P9" s="16"/>
      <c r="Q9" s="16"/>
      <c r="R9" s="16"/>
      <c r="S9" s="16"/>
      <c r="T9" s="15"/>
      <c r="U9" s="15"/>
    </row>
    <row r="10" spans="1:21" x14ac:dyDescent="0.35">
      <c r="A10" s="16"/>
      <c r="B10" s="16"/>
      <c r="C10" s="16"/>
      <c r="D10" s="16"/>
      <c r="E10" s="16"/>
      <c r="F10" s="16"/>
      <c r="G10" s="16"/>
      <c r="H10" s="16"/>
      <c r="I10" s="16"/>
      <c r="J10" s="16"/>
      <c r="K10" s="16"/>
      <c r="L10" s="16"/>
      <c r="M10" s="16"/>
      <c r="N10" s="16"/>
      <c r="O10" s="16"/>
      <c r="P10" s="16"/>
      <c r="Q10" s="16"/>
      <c r="R10" s="16"/>
      <c r="S10" s="16"/>
      <c r="T10" s="15"/>
      <c r="U10" s="15"/>
    </row>
    <row r="11" spans="1:21" x14ac:dyDescent="0.35">
      <c r="A11" s="16"/>
      <c r="B11" s="16"/>
      <c r="C11" s="16"/>
      <c r="D11" s="16"/>
      <c r="E11" s="16"/>
      <c r="F11" s="16"/>
      <c r="G11" s="16"/>
      <c r="H11" s="16"/>
      <c r="I11" s="16"/>
      <c r="J11" s="16"/>
      <c r="K11" s="16"/>
      <c r="L11" s="16"/>
      <c r="M11" s="16"/>
      <c r="N11" s="16"/>
      <c r="O11" s="16"/>
      <c r="P11" s="16"/>
      <c r="Q11" s="16"/>
      <c r="R11" s="16"/>
      <c r="S11" s="16"/>
      <c r="T11" s="15"/>
      <c r="U11" s="15"/>
    </row>
    <row r="12" spans="1:21" x14ac:dyDescent="0.35">
      <c r="A12" s="16"/>
      <c r="B12" s="16"/>
      <c r="C12" s="16"/>
      <c r="D12" s="16"/>
      <c r="E12" s="16"/>
      <c r="F12" s="16"/>
      <c r="G12" s="16"/>
      <c r="H12" s="16"/>
      <c r="I12" s="16"/>
      <c r="J12" s="16"/>
      <c r="K12" s="16"/>
      <c r="L12" s="16"/>
      <c r="M12" s="16"/>
      <c r="N12" s="16"/>
      <c r="O12" s="16"/>
      <c r="P12" s="16"/>
      <c r="Q12" s="16"/>
      <c r="R12" s="16"/>
      <c r="S12" s="16"/>
      <c r="T12" s="15"/>
      <c r="U12" s="15"/>
    </row>
    <row r="13" spans="1:21" x14ac:dyDescent="0.35">
      <c r="A13" s="16"/>
      <c r="B13" s="16"/>
      <c r="C13" s="16"/>
      <c r="D13" s="16"/>
      <c r="E13" s="16"/>
      <c r="F13" s="16"/>
      <c r="G13" s="16"/>
      <c r="H13" s="16"/>
      <c r="I13" s="16"/>
      <c r="J13" s="16"/>
      <c r="K13" s="16"/>
      <c r="L13" s="16"/>
      <c r="M13" s="16"/>
      <c r="N13" s="16"/>
      <c r="O13" s="16"/>
      <c r="P13" s="16"/>
      <c r="Q13" s="16"/>
      <c r="R13" s="16"/>
      <c r="S13" s="16"/>
      <c r="T13" s="15"/>
      <c r="U13" s="15"/>
    </row>
    <row r="14" spans="1:21" x14ac:dyDescent="0.35">
      <c r="A14" s="16"/>
      <c r="B14" s="16"/>
      <c r="C14" s="16"/>
      <c r="D14" s="16"/>
      <c r="E14" s="16"/>
      <c r="F14" s="16"/>
      <c r="G14" s="16"/>
      <c r="H14" s="16"/>
      <c r="I14" s="16"/>
      <c r="J14" s="16"/>
      <c r="K14" s="16"/>
      <c r="L14" s="16"/>
      <c r="M14" s="16"/>
      <c r="N14" s="16"/>
      <c r="O14" s="16"/>
      <c r="P14" s="16"/>
      <c r="Q14" s="16"/>
      <c r="R14" s="16"/>
      <c r="S14" s="16"/>
      <c r="T14" s="15"/>
      <c r="U14" s="15"/>
    </row>
    <row r="15" spans="1:21" x14ac:dyDescent="0.35">
      <c r="A15" s="16"/>
      <c r="B15" s="16"/>
      <c r="C15" s="16"/>
      <c r="D15" s="16"/>
      <c r="E15" s="16"/>
      <c r="F15" s="16"/>
      <c r="G15" s="16"/>
      <c r="H15" s="16"/>
      <c r="I15" s="16"/>
      <c r="J15" s="16"/>
      <c r="K15" s="16"/>
      <c r="L15" s="16"/>
      <c r="M15" s="16"/>
      <c r="N15" s="16"/>
      <c r="O15" s="16"/>
      <c r="P15" s="16"/>
      <c r="Q15" s="16"/>
      <c r="R15" s="16"/>
      <c r="S15" s="16"/>
      <c r="T15" s="15"/>
      <c r="U15" s="15"/>
    </row>
    <row r="16" spans="1:21" x14ac:dyDescent="0.35">
      <c r="A16" s="16"/>
      <c r="B16" s="16"/>
      <c r="C16" s="16"/>
      <c r="D16" s="16"/>
      <c r="E16" s="16"/>
      <c r="F16" s="16"/>
      <c r="G16" s="16"/>
      <c r="H16" s="16"/>
      <c r="I16" s="16"/>
      <c r="J16" s="16"/>
      <c r="K16" s="16"/>
      <c r="L16" s="16"/>
      <c r="M16" s="16"/>
      <c r="N16" s="16"/>
      <c r="O16" s="16"/>
      <c r="P16" s="16"/>
      <c r="Q16" s="16"/>
      <c r="R16" s="16"/>
      <c r="S16" s="16"/>
      <c r="T16" s="15"/>
      <c r="U16" s="15"/>
    </row>
    <row r="17" spans="1:21" x14ac:dyDescent="0.35">
      <c r="A17" s="16"/>
      <c r="B17" s="16"/>
      <c r="C17" s="16"/>
      <c r="D17" s="16"/>
      <c r="E17" s="16"/>
      <c r="F17" s="16"/>
      <c r="G17" s="16"/>
      <c r="H17" s="16"/>
      <c r="I17" s="16"/>
      <c r="J17" s="16"/>
      <c r="K17" s="16"/>
      <c r="L17" s="16"/>
      <c r="M17" s="16"/>
      <c r="N17" s="16"/>
      <c r="O17" s="16"/>
      <c r="P17" s="16"/>
      <c r="Q17" s="16"/>
      <c r="R17" s="16"/>
      <c r="S17" s="16"/>
      <c r="T17" s="15"/>
      <c r="U17" s="15"/>
    </row>
    <row r="18" spans="1:21" x14ac:dyDescent="0.35">
      <c r="A18" s="16"/>
      <c r="B18" s="16"/>
      <c r="C18" s="16"/>
      <c r="D18" s="16"/>
      <c r="E18" s="16"/>
      <c r="F18" s="16"/>
      <c r="G18" s="16"/>
      <c r="H18" s="16"/>
      <c r="I18" s="16"/>
      <c r="J18" s="16"/>
      <c r="K18" s="16"/>
      <c r="L18" s="16"/>
      <c r="M18" s="16"/>
      <c r="N18" s="16"/>
      <c r="O18" s="16"/>
      <c r="P18" s="16"/>
      <c r="Q18" s="16"/>
      <c r="R18" s="16"/>
      <c r="S18" s="16"/>
      <c r="T18" s="15"/>
      <c r="U18" s="15"/>
    </row>
    <row r="19" spans="1:21" x14ac:dyDescent="0.35">
      <c r="A19" s="16"/>
      <c r="B19" s="16"/>
      <c r="C19" s="16"/>
      <c r="D19" s="16"/>
      <c r="E19" s="16"/>
      <c r="F19" s="16"/>
      <c r="G19" s="16"/>
      <c r="H19" s="16"/>
      <c r="I19" s="16"/>
      <c r="J19" s="16"/>
      <c r="K19" s="16"/>
      <c r="L19" s="16"/>
      <c r="M19" s="16"/>
      <c r="N19" s="16"/>
      <c r="O19" s="16"/>
      <c r="P19" s="16"/>
      <c r="Q19" s="16"/>
      <c r="R19" s="16"/>
      <c r="S19" s="16"/>
      <c r="T19" s="15"/>
      <c r="U19" s="15"/>
    </row>
    <row r="20" spans="1:21" x14ac:dyDescent="0.35">
      <c r="A20" s="16"/>
      <c r="B20" s="16"/>
      <c r="C20" s="16"/>
      <c r="D20" s="16"/>
      <c r="E20" s="16"/>
      <c r="F20" s="16"/>
      <c r="G20" s="16"/>
      <c r="H20" s="16"/>
      <c r="I20" s="16"/>
      <c r="J20" s="16"/>
      <c r="K20" s="16"/>
      <c r="L20" s="16"/>
      <c r="M20" s="16"/>
      <c r="N20" s="16"/>
      <c r="O20" s="16"/>
      <c r="P20" s="16"/>
      <c r="Q20" s="16"/>
      <c r="R20" s="16"/>
      <c r="S20" s="16"/>
      <c r="T20" s="15"/>
      <c r="U20" s="15"/>
    </row>
    <row r="21" spans="1:21" x14ac:dyDescent="0.35">
      <c r="A21" s="16"/>
      <c r="B21" s="16"/>
      <c r="C21" s="16"/>
      <c r="D21" s="16"/>
      <c r="E21" s="16"/>
      <c r="F21" s="16"/>
      <c r="G21" s="16"/>
      <c r="H21" s="16"/>
      <c r="I21" s="16"/>
      <c r="J21" s="16"/>
      <c r="K21" s="16"/>
      <c r="L21" s="16"/>
      <c r="M21" s="16"/>
      <c r="N21" s="16"/>
      <c r="O21" s="16"/>
      <c r="P21" s="16"/>
      <c r="Q21" s="16"/>
      <c r="R21" s="16"/>
      <c r="S21" s="16"/>
      <c r="T21" s="15"/>
      <c r="U21" s="15"/>
    </row>
    <row r="22" spans="1:21" x14ac:dyDescent="0.35">
      <c r="A22" s="16"/>
      <c r="B22" s="16"/>
      <c r="C22" s="16"/>
      <c r="D22" s="16"/>
      <c r="E22" s="16"/>
      <c r="F22" s="16"/>
      <c r="G22" s="16"/>
      <c r="H22" s="16"/>
      <c r="I22" s="16"/>
      <c r="J22" s="16"/>
      <c r="K22" s="16"/>
      <c r="L22" s="16"/>
      <c r="M22" s="16"/>
      <c r="N22" s="16"/>
      <c r="O22" s="16"/>
      <c r="P22" s="16"/>
      <c r="Q22" s="16"/>
      <c r="R22" s="16"/>
      <c r="S22" s="16"/>
      <c r="T22" s="15"/>
      <c r="U22" s="15"/>
    </row>
    <row r="23" spans="1:21" x14ac:dyDescent="0.35">
      <c r="A23" s="16"/>
      <c r="B23" s="16"/>
      <c r="C23" s="16"/>
      <c r="D23" s="16"/>
      <c r="E23" s="16"/>
      <c r="F23" s="16"/>
      <c r="G23" s="16"/>
      <c r="H23" s="16"/>
      <c r="I23" s="16"/>
      <c r="J23" s="16"/>
      <c r="K23" s="16"/>
      <c r="L23" s="16"/>
      <c r="M23" s="16"/>
      <c r="N23" s="16"/>
      <c r="O23" s="16"/>
      <c r="P23" s="16"/>
      <c r="Q23" s="16"/>
      <c r="R23" s="16"/>
      <c r="S23" s="16"/>
      <c r="T23" s="15"/>
      <c r="U23" s="15"/>
    </row>
    <row r="24" spans="1:21" x14ac:dyDescent="0.35">
      <c r="A24" s="16"/>
      <c r="B24" s="16"/>
      <c r="C24" s="16"/>
      <c r="D24" s="16"/>
      <c r="E24" s="16"/>
      <c r="F24" s="16"/>
      <c r="G24" s="16"/>
      <c r="H24" s="16"/>
      <c r="I24" s="16"/>
      <c r="J24" s="16"/>
      <c r="K24" s="16"/>
      <c r="L24" s="16"/>
      <c r="M24" s="16"/>
      <c r="N24" s="16"/>
      <c r="O24" s="16"/>
      <c r="P24" s="16"/>
      <c r="Q24" s="16"/>
      <c r="R24" s="16"/>
      <c r="S24" s="16"/>
      <c r="T24" s="15"/>
      <c r="U24" s="15"/>
    </row>
    <row r="25" spans="1:21" x14ac:dyDescent="0.35">
      <c r="A25" s="16"/>
      <c r="B25" s="16"/>
      <c r="C25" s="16"/>
      <c r="D25" s="16"/>
      <c r="E25" s="16"/>
      <c r="F25" s="16"/>
      <c r="G25" s="16"/>
      <c r="H25" s="16"/>
      <c r="I25" s="16"/>
      <c r="J25" s="16"/>
      <c r="K25" s="16"/>
      <c r="L25" s="16"/>
      <c r="M25" s="16"/>
      <c r="N25" s="16"/>
      <c r="O25" s="16"/>
      <c r="P25" s="16"/>
      <c r="Q25" s="16"/>
      <c r="R25" s="16"/>
      <c r="S25" s="16"/>
      <c r="T25" s="15"/>
      <c r="U25" s="15"/>
    </row>
    <row r="26" spans="1:21" x14ac:dyDescent="0.35">
      <c r="A26" s="16"/>
      <c r="B26" s="16"/>
      <c r="C26" s="16"/>
      <c r="D26" s="16"/>
      <c r="E26" s="16"/>
      <c r="F26" s="16"/>
      <c r="G26" s="16"/>
      <c r="H26" s="16"/>
      <c r="I26" s="16"/>
      <c r="J26" s="16"/>
      <c r="K26" s="16"/>
      <c r="L26" s="16"/>
      <c r="M26" s="16"/>
      <c r="N26" s="16"/>
      <c r="O26" s="16"/>
      <c r="P26" s="16"/>
      <c r="Q26" s="16"/>
      <c r="R26" s="16"/>
      <c r="S26" s="16"/>
      <c r="T26" s="15"/>
      <c r="U26" s="15"/>
    </row>
    <row r="27" spans="1:21" x14ac:dyDescent="0.35">
      <c r="A27" s="16"/>
      <c r="B27" s="16"/>
      <c r="C27" s="16"/>
      <c r="D27" s="16"/>
      <c r="E27" s="16"/>
      <c r="F27" s="16"/>
      <c r="G27" s="16"/>
      <c r="H27" s="16"/>
      <c r="I27" s="16"/>
      <c r="J27" s="16"/>
      <c r="K27" s="16"/>
      <c r="L27" s="16"/>
      <c r="M27" s="16"/>
      <c r="N27" s="16"/>
      <c r="O27" s="16"/>
      <c r="P27" s="16"/>
      <c r="Q27" s="16"/>
      <c r="R27" s="16"/>
      <c r="S27" s="16"/>
      <c r="T27" s="15"/>
      <c r="U27" s="15"/>
    </row>
    <row r="28" spans="1:21" x14ac:dyDescent="0.35">
      <c r="A28" s="16"/>
      <c r="B28" s="16"/>
      <c r="C28" s="16"/>
      <c r="D28" s="16"/>
      <c r="E28" s="16"/>
      <c r="F28" s="16"/>
      <c r="G28" s="16"/>
      <c r="H28" s="16"/>
      <c r="I28" s="16"/>
      <c r="J28" s="16"/>
      <c r="K28" s="16"/>
      <c r="L28" s="16"/>
      <c r="M28" s="16"/>
      <c r="N28" s="16"/>
      <c r="O28" s="16"/>
      <c r="P28" s="16"/>
      <c r="Q28" s="16"/>
      <c r="R28" s="16"/>
      <c r="S28" s="16"/>
      <c r="T28" s="15"/>
      <c r="U28" s="15"/>
    </row>
    <row r="29" spans="1:21" x14ac:dyDescent="0.35">
      <c r="A29" s="16"/>
      <c r="B29" s="16"/>
      <c r="C29" s="16"/>
      <c r="D29" s="16"/>
      <c r="E29" s="16"/>
      <c r="F29" s="16"/>
      <c r="G29" s="16"/>
      <c r="H29" s="16"/>
      <c r="I29" s="16"/>
      <c r="J29" s="16"/>
      <c r="K29" s="16"/>
      <c r="L29" s="16"/>
      <c r="M29" s="16"/>
      <c r="N29" s="16"/>
      <c r="O29" s="16"/>
      <c r="P29" s="16"/>
      <c r="Q29" s="16"/>
      <c r="R29" s="16"/>
      <c r="S29" s="16"/>
      <c r="T29" s="15"/>
      <c r="U29" s="15"/>
    </row>
    <row r="30" spans="1:21" x14ac:dyDescent="0.35">
      <c r="A30" s="16"/>
      <c r="B30" s="16"/>
      <c r="C30" s="16"/>
      <c r="D30" s="16"/>
      <c r="E30" s="16"/>
      <c r="F30" s="16"/>
      <c r="G30" s="16"/>
      <c r="H30" s="16"/>
      <c r="I30" s="16"/>
      <c r="J30" s="16"/>
      <c r="K30" s="16"/>
      <c r="L30" s="16"/>
      <c r="M30" s="16"/>
      <c r="N30" s="16"/>
      <c r="O30" s="16"/>
      <c r="P30" s="16"/>
      <c r="Q30" s="16"/>
      <c r="R30" s="16"/>
      <c r="S30" s="16"/>
      <c r="T30" s="15"/>
      <c r="U30" s="15"/>
    </row>
    <row r="31" spans="1:21" x14ac:dyDescent="0.35">
      <c r="A31" s="16"/>
      <c r="B31" s="16"/>
      <c r="C31" s="16"/>
      <c r="D31" s="16"/>
      <c r="E31" s="16"/>
      <c r="F31" s="16"/>
      <c r="G31" s="16"/>
      <c r="H31" s="16"/>
      <c r="I31" s="16"/>
      <c r="J31" s="16"/>
      <c r="K31" s="16"/>
      <c r="L31" s="16"/>
      <c r="M31" s="16"/>
      <c r="N31" s="16"/>
      <c r="O31" s="16"/>
      <c r="P31" s="16"/>
      <c r="Q31" s="16"/>
      <c r="R31" s="16"/>
      <c r="S31" s="16"/>
      <c r="T31" s="15"/>
      <c r="U31" s="15"/>
    </row>
    <row r="32" spans="1:21" x14ac:dyDescent="0.35">
      <c r="A32" s="16"/>
      <c r="B32" s="16"/>
      <c r="C32" s="16"/>
      <c r="D32" s="16"/>
      <c r="E32" s="16"/>
      <c r="F32" s="16"/>
      <c r="G32" s="16"/>
      <c r="H32" s="16"/>
      <c r="I32" s="16"/>
      <c r="J32" s="16"/>
      <c r="K32" s="16"/>
      <c r="L32" s="16"/>
      <c r="M32" s="16"/>
      <c r="N32" s="16"/>
      <c r="O32" s="16"/>
      <c r="P32" s="16"/>
      <c r="Q32" s="16"/>
      <c r="R32" s="16"/>
      <c r="S32" s="16"/>
      <c r="T32" s="15"/>
      <c r="U32" s="15"/>
    </row>
    <row r="33" spans="1:21" x14ac:dyDescent="0.35">
      <c r="A33" s="16"/>
      <c r="B33" s="16"/>
      <c r="C33" s="16"/>
      <c r="D33" s="16"/>
      <c r="E33" s="16"/>
      <c r="F33" s="16"/>
      <c r="G33" s="16"/>
      <c r="H33" s="16"/>
      <c r="I33" s="16"/>
      <c r="J33" s="16"/>
      <c r="K33" s="16"/>
      <c r="L33" s="16"/>
      <c r="M33" s="16"/>
      <c r="N33" s="16"/>
      <c r="O33" s="16"/>
      <c r="P33" s="16"/>
      <c r="Q33" s="16"/>
      <c r="R33" s="16"/>
      <c r="S33" s="16"/>
      <c r="T33" s="15"/>
      <c r="U33" s="15"/>
    </row>
    <row r="34" spans="1:21" x14ac:dyDescent="0.35">
      <c r="A34" s="16"/>
      <c r="B34" s="16"/>
      <c r="C34" s="16"/>
      <c r="D34" s="16"/>
      <c r="E34" s="16"/>
      <c r="F34" s="16"/>
      <c r="G34" s="16"/>
      <c r="H34" s="16"/>
      <c r="I34" s="16"/>
      <c r="J34" s="16"/>
      <c r="K34" s="16"/>
      <c r="L34" s="16"/>
      <c r="M34" s="16"/>
      <c r="N34" s="16"/>
      <c r="O34" s="16"/>
      <c r="P34" s="16"/>
      <c r="Q34" s="16"/>
      <c r="R34" s="16"/>
      <c r="S34" s="16"/>
      <c r="T34" s="15"/>
      <c r="U34" s="15"/>
    </row>
    <row r="35" spans="1:21" x14ac:dyDescent="0.35">
      <c r="A35" s="16"/>
      <c r="B35" s="16"/>
      <c r="C35" s="16"/>
      <c r="D35" s="16"/>
      <c r="E35" s="16"/>
      <c r="F35" s="16"/>
      <c r="G35" s="16"/>
      <c r="H35" s="16"/>
      <c r="I35" s="16"/>
      <c r="J35" s="16"/>
      <c r="K35" s="16"/>
      <c r="L35" s="16"/>
      <c r="M35" s="16"/>
      <c r="N35" s="16"/>
      <c r="O35" s="16"/>
      <c r="P35" s="16"/>
      <c r="Q35" s="16"/>
      <c r="R35" s="16"/>
      <c r="S35" s="16"/>
      <c r="T35" s="15"/>
      <c r="U35" s="15"/>
    </row>
    <row r="36" spans="1:21" x14ac:dyDescent="0.35">
      <c r="A36" s="16"/>
      <c r="B36" s="16"/>
      <c r="C36" s="16"/>
      <c r="D36" s="16"/>
      <c r="E36" s="16"/>
      <c r="F36" s="16"/>
      <c r="G36" s="16"/>
      <c r="H36" s="16"/>
      <c r="I36" s="16"/>
      <c r="J36" s="16"/>
      <c r="K36" s="16"/>
      <c r="L36" s="16"/>
      <c r="M36" s="16"/>
      <c r="N36" s="16"/>
      <c r="O36" s="16"/>
      <c r="P36" s="16"/>
      <c r="Q36" s="16"/>
      <c r="R36" s="16"/>
      <c r="S36" s="16"/>
      <c r="T36" s="15"/>
      <c r="U36" s="15"/>
    </row>
    <row r="37" spans="1:21" x14ac:dyDescent="0.35">
      <c r="A37" s="16"/>
      <c r="B37" s="16"/>
      <c r="C37" s="16"/>
      <c r="D37" s="16"/>
      <c r="E37" s="16"/>
      <c r="F37" s="16"/>
      <c r="G37" s="16"/>
      <c r="H37" s="16"/>
      <c r="I37" s="16"/>
      <c r="J37" s="16"/>
      <c r="K37" s="16"/>
      <c r="L37" s="16"/>
      <c r="M37" s="16"/>
      <c r="N37" s="16"/>
      <c r="O37" s="16"/>
      <c r="P37" s="16"/>
      <c r="Q37" s="16"/>
      <c r="R37" s="16"/>
      <c r="S37" s="16"/>
      <c r="T37" s="15"/>
      <c r="U37" s="15"/>
    </row>
    <row r="38" spans="1:21" x14ac:dyDescent="0.35">
      <c r="A38" s="16"/>
      <c r="B38" s="16"/>
      <c r="C38" s="16"/>
      <c r="D38" s="16"/>
      <c r="E38" s="16"/>
      <c r="F38" s="16"/>
      <c r="G38" s="16"/>
      <c r="H38" s="16"/>
      <c r="I38" s="16"/>
      <c r="J38" s="16"/>
      <c r="K38" s="16"/>
      <c r="L38" s="16"/>
      <c r="M38" s="16"/>
      <c r="N38" s="16"/>
      <c r="O38" s="16"/>
      <c r="P38" s="16"/>
      <c r="Q38" s="16"/>
      <c r="R38" s="16"/>
      <c r="S38" s="16"/>
      <c r="T38" s="15"/>
      <c r="U38" s="15"/>
    </row>
    <row r="39" spans="1:21" x14ac:dyDescent="0.35">
      <c r="A39" s="16"/>
      <c r="B39" s="16"/>
      <c r="C39" s="16"/>
      <c r="D39" s="16"/>
      <c r="E39" s="16"/>
      <c r="F39" s="16"/>
      <c r="G39" s="16"/>
      <c r="H39" s="16"/>
      <c r="I39" s="16"/>
      <c r="J39" s="16"/>
      <c r="K39" s="16"/>
      <c r="L39" s="16"/>
      <c r="M39" s="16"/>
      <c r="N39" s="16"/>
      <c r="O39" s="16"/>
      <c r="P39" s="16"/>
      <c r="Q39" s="16"/>
      <c r="R39" s="16"/>
      <c r="S39" s="16"/>
      <c r="T39" s="15"/>
      <c r="U39" s="15"/>
    </row>
    <row r="40" spans="1:21" x14ac:dyDescent="0.35">
      <c r="A40" s="16"/>
      <c r="B40" s="16"/>
      <c r="C40" s="16"/>
      <c r="D40" s="16"/>
      <c r="E40" s="16"/>
      <c r="F40" s="16"/>
      <c r="G40" s="16"/>
      <c r="H40" s="16"/>
      <c r="I40" s="16"/>
      <c r="J40" s="16"/>
      <c r="K40" s="16"/>
      <c r="L40" s="16"/>
      <c r="M40" s="16"/>
      <c r="N40" s="16"/>
      <c r="O40" s="16"/>
      <c r="P40" s="16"/>
      <c r="Q40" s="16"/>
      <c r="R40" s="16"/>
      <c r="S40" s="16"/>
      <c r="T40" s="15"/>
      <c r="U40" s="15"/>
    </row>
    <row r="41" spans="1:21" x14ac:dyDescent="0.35">
      <c r="A41" s="16"/>
      <c r="B41" s="16"/>
      <c r="C41" s="16"/>
      <c r="D41" s="16"/>
      <c r="E41" s="16"/>
      <c r="F41" s="16"/>
      <c r="G41" s="16"/>
      <c r="H41" s="16"/>
      <c r="I41" s="16"/>
      <c r="J41" s="16"/>
      <c r="K41" s="16"/>
      <c r="L41" s="16"/>
      <c r="M41" s="16"/>
      <c r="N41" s="16"/>
      <c r="O41" s="16"/>
      <c r="P41" s="16"/>
      <c r="Q41" s="16"/>
      <c r="R41" s="16"/>
      <c r="S41" s="16"/>
      <c r="T41" s="15"/>
      <c r="U41" s="15"/>
    </row>
    <row r="42" spans="1:21" x14ac:dyDescent="0.35">
      <c r="A42" s="16"/>
      <c r="B42" s="16"/>
      <c r="C42" s="16"/>
      <c r="D42" s="16"/>
      <c r="E42" s="16"/>
      <c r="F42" s="16"/>
      <c r="G42" s="16"/>
      <c r="H42" s="16"/>
      <c r="I42" s="16"/>
      <c r="J42" s="16"/>
      <c r="K42" s="16"/>
      <c r="L42" s="16"/>
      <c r="M42" s="16"/>
      <c r="N42" s="16"/>
      <c r="O42" s="16"/>
      <c r="P42" s="16"/>
      <c r="Q42" s="16"/>
      <c r="R42" s="16"/>
      <c r="S42" s="16"/>
      <c r="T42" s="15"/>
      <c r="U42"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758E0D-00E3-485D-ABE0-FF667A1CCD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dummy_hospital_generated</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2025-11-21T16:21:29Z</dcterms:created>
  <dcterms:modified xsi:type="dcterms:W3CDTF">2025-12-31T08:30:27Z</dcterms:modified>
</cp:coreProperties>
</file>